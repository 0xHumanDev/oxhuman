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ID COMPUTER\Desktop\"/>
    </mc:Choice>
  </mc:AlternateContent>
  <bookViews>
    <workbookView xWindow="0" yWindow="0" windowWidth="23040" windowHeight="9192" firstSheet="1" activeTab="5"/>
  </bookViews>
  <sheets>
    <sheet name="Database" sheetId="1" state="hidden" r:id="rId1"/>
    <sheet name="ټپری T" sheetId="12" r:id="rId2"/>
    <sheet name="پارکینګP " sheetId="11" r:id="rId3"/>
    <sheet name="مغازې منزلD " sheetId="9" r:id="rId4"/>
    <sheet name="رحت منزلC " sheetId="8" r:id="rId5"/>
    <sheet name="بنجاره منزلB " sheetId="10" r:id="rId6"/>
    <sheet name="بوټ منزلA  " sheetId="3" r:id="rId7"/>
    <sheet name="Sheet1" sheetId="14" r:id="rId8"/>
  </sheets>
  <definedNames>
    <definedName name="_xlnm.Print_Area" localSheetId="5">'بنجاره منزلB '!$A$1:$N$20</definedName>
    <definedName name="_xlnm.Print_Area" localSheetId="6">'بوټ منزلA  '!$A$1:$N$79</definedName>
    <definedName name="_xlnm.Print_Area" localSheetId="2">'پارکینګP '!$A$1:$L$73</definedName>
    <definedName name="_xlnm.Print_Area" localSheetId="1">'ټپری T'!$A$1:$N$49</definedName>
    <definedName name="_xlnm.Print_Area" localSheetId="4">'رحت منزلC '!$A$1:$N$79</definedName>
    <definedName name="_xlnm.Print_Area" localSheetId="3">'مغازې منزلD '!$A$1:$P$78</definedName>
    <definedName name="_xlnm.Print_Titles" localSheetId="6">'بوټ منزلA  '!$2:$2</definedName>
    <definedName name="_xlnm.Print_Titles" localSheetId="4">'رحت منزلC '!$2:$2</definedName>
    <definedName name="_xlnm.Print_Titles" localSheetId="3">'مغازې منزلD '!$2:$2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3" i="9" l="1"/>
  <c r="N36" i="8"/>
  <c r="F38" i="14" l="1"/>
  <c r="G39" i="14" s="1"/>
  <c r="C43" i="14" l="1"/>
  <c r="E32" i="14" s="1"/>
  <c r="C36" i="14" l="1"/>
  <c r="C55" i="14"/>
  <c r="E51" i="14"/>
  <c r="D51" i="14" l="1"/>
  <c r="C51" i="14"/>
  <c r="L44" i="12"/>
  <c r="M42" i="12"/>
  <c r="L42" i="12"/>
  <c r="L75" i="8" l="1"/>
  <c r="M78" i="3"/>
  <c r="M75" i="3"/>
  <c r="L75" i="3"/>
  <c r="L77" i="8"/>
  <c r="M75" i="8"/>
  <c r="O14" i="8"/>
  <c r="O13" i="8"/>
  <c r="M16" i="8"/>
  <c r="O15" i="8"/>
  <c r="O16" i="8"/>
  <c r="O17" i="8"/>
  <c r="E33" i="14" l="1"/>
  <c r="F34" i="14" s="1"/>
  <c r="F32" i="14" l="1"/>
  <c r="F33" i="14" s="1"/>
  <c r="K49" i="14"/>
  <c r="K51" i="14" s="1"/>
  <c r="F35" i="14" l="1"/>
  <c r="F36" i="14"/>
  <c r="C49" i="14"/>
  <c r="L65" i="9"/>
  <c r="G34" i="14" l="1"/>
  <c r="H34" i="14" s="1"/>
  <c r="K75" i="9"/>
  <c r="L85" i="3"/>
  <c r="O3" i="12" l="1"/>
  <c r="O4" i="12"/>
  <c r="O5" i="12"/>
  <c r="O7" i="12"/>
  <c r="O8" i="12"/>
  <c r="O9" i="12"/>
  <c r="O10" i="12"/>
  <c r="O11" i="12"/>
  <c r="O12" i="12"/>
  <c r="O15" i="12"/>
  <c r="O16" i="12"/>
  <c r="O19" i="12"/>
  <c r="O20" i="12"/>
  <c r="O23" i="12"/>
  <c r="O27" i="12"/>
  <c r="O28" i="12"/>
  <c r="O29" i="12"/>
  <c r="O30" i="12"/>
  <c r="O31" i="12"/>
  <c r="O32" i="12"/>
  <c r="O37" i="12"/>
  <c r="O38" i="12"/>
  <c r="O39" i="12"/>
  <c r="O40" i="12"/>
  <c r="O41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M26" i="12"/>
  <c r="O26" i="12" s="1"/>
  <c r="M25" i="12"/>
  <c r="O25" i="12" s="1"/>
  <c r="M24" i="12"/>
  <c r="O24" i="12" s="1"/>
  <c r="M22" i="12"/>
  <c r="O22" i="12" s="1"/>
  <c r="M21" i="12"/>
  <c r="O21" i="12" s="1"/>
  <c r="M18" i="12"/>
  <c r="O18" i="12" s="1"/>
  <c r="M17" i="12"/>
  <c r="O17" i="12" s="1"/>
  <c r="M14" i="12"/>
  <c r="O14" i="12" s="1"/>
  <c r="M13" i="12"/>
  <c r="O13" i="12" s="1"/>
  <c r="L66" i="9"/>
  <c r="L64" i="9"/>
  <c r="E47" i="14" l="1"/>
  <c r="E48" i="14"/>
  <c r="E50" i="14"/>
  <c r="E46" i="14"/>
  <c r="O3" i="10" l="1"/>
  <c r="O5" i="10"/>
  <c r="O7" i="10"/>
  <c r="O10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I16" i="14"/>
  <c r="J10" i="14"/>
  <c r="E4" i="14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3" i="3"/>
  <c r="M54" i="3"/>
  <c r="M55" i="3"/>
  <c r="M56" i="3"/>
  <c r="M57" i="3"/>
  <c r="M58" i="3"/>
  <c r="M59" i="3"/>
  <c r="M60" i="3"/>
  <c r="M63" i="3"/>
  <c r="M64" i="3"/>
  <c r="M65" i="3"/>
  <c r="M66" i="3"/>
  <c r="M67" i="3"/>
  <c r="M68" i="3"/>
  <c r="M69" i="3"/>
  <c r="M70" i="3"/>
  <c r="M71" i="3"/>
  <c r="M73" i="3"/>
  <c r="M74" i="3"/>
  <c r="M3" i="3"/>
  <c r="E6" i="14"/>
  <c r="K15" i="10"/>
  <c r="E9" i="14" l="1"/>
  <c r="O6" i="3"/>
  <c r="O7" i="3"/>
  <c r="O10" i="3"/>
  <c r="O11" i="3"/>
  <c r="O14" i="3"/>
  <c r="O15" i="3"/>
  <c r="O18" i="3"/>
  <c r="O19" i="3"/>
  <c r="O27" i="3"/>
  <c r="O38" i="3"/>
  <c r="O39" i="3"/>
  <c r="O42" i="3"/>
  <c r="O43" i="3"/>
  <c r="O46" i="3"/>
  <c r="O47" i="3"/>
  <c r="O50" i="3"/>
  <c r="O54" i="3"/>
  <c r="O55" i="3"/>
  <c r="O58" i="3"/>
  <c r="O59" i="3"/>
  <c r="W52" i="3"/>
  <c r="X54" i="3" s="1"/>
  <c r="M6" i="12"/>
  <c r="O40" i="8"/>
  <c r="O8" i="3"/>
  <c r="O9" i="3"/>
  <c r="O12" i="3"/>
  <c r="O13" i="3"/>
  <c r="O16" i="3"/>
  <c r="O17" i="3"/>
  <c r="O20" i="3"/>
  <c r="O21" i="3"/>
  <c r="O24" i="3"/>
  <c r="O25" i="3"/>
  <c r="O26" i="3"/>
  <c r="O28" i="3"/>
  <c r="O29" i="3"/>
  <c r="O30" i="3"/>
  <c r="O32" i="3"/>
  <c r="O33" i="3"/>
  <c r="O34" i="3"/>
  <c r="O37" i="3"/>
  <c r="O40" i="3"/>
  <c r="O41" i="3"/>
  <c r="O44" i="3"/>
  <c r="O45" i="3"/>
  <c r="O48" i="3"/>
  <c r="O49" i="3"/>
  <c r="O53" i="3"/>
  <c r="O56" i="3"/>
  <c r="O57" i="3"/>
  <c r="O60" i="3"/>
  <c r="O6" i="12" l="1"/>
  <c r="L29" i="9"/>
  <c r="L30" i="9"/>
  <c r="L31" i="9"/>
  <c r="L32" i="9"/>
  <c r="O42" i="12" l="1"/>
  <c r="L3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M3" i="8"/>
  <c r="O3" i="8" s="1"/>
  <c r="M4" i="8"/>
  <c r="O4" i="8" s="1"/>
  <c r="M5" i="8"/>
  <c r="O5" i="8" s="1"/>
  <c r="M6" i="8"/>
  <c r="O6" i="8" s="1"/>
  <c r="M7" i="8"/>
  <c r="O7" i="8" s="1"/>
  <c r="M8" i="8"/>
  <c r="O8" i="8" s="1"/>
  <c r="M9" i="8"/>
  <c r="O9" i="8" s="1"/>
  <c r="M10" i="8"/>
  <c r="O10" i="8" s="1"/>
  <c r="M11" i="8"/>
  <c r="O11" i="8" s="1"/>
  <c r="M12" i="8"/>
  <c r="O12" i="8" s="1"/>
  <c r="M14" i="8"/>
  <c r="M17" i="8"/>
  <c r="M18" i="8"/>
  <c r="O18" i="8" s="1"/>
  <c r="M20" i="8"/>
  <c r="O21" i="8"/>
  <c r="M22" i="8"/>
  <c r="M23" i="8"/>
  <c r="O23" i="8" s="1"/>
  <c r="M24" i="8"/>
  <c r="M25" i="8"/>
  <c r="O25" i="8" s="1"/>
  <c r="M27" i="8"/>
  <c r="O26" i="8" s="1"/>
  <c r="M28" i="8"/>
  <c r="O28" i="8" s="1"/>
  <c r="M29" i="8"/>
  <c r="M30" i="8"/>
  <c r="O30" i="8" s="1"/>
  <c r="M31" i="8"/>
  <c r="M32" i="8"/>
  <c r="O32" i="8" s="1"/>
  <c r="M33" i="8"/>
  <c r="M34" i="8"/>
  <c r="O34" i="8" s="1"/>
  <c r="M35" i="8"/>
  <c r="M36" i="8"/>
  <c r="O36" i="8" s="1"/>
  <c r="M37" i="8"/>
  <c r="M38" i="8"/>
  <c r="O38" i="8" s="1"/>
  <c r="M39" i="8"/>
  <c r="O39" i="8" s="1"/>
  <c r="M42" i="8"/>
  <c r="M43" i="8"/>
  <c r="M44" i="8"/>
  <c r="O44" i="8" s="1"/>
  <c r="M45" i="8"/>
  <c r="M46" i="8"/>
  <c r="O46" i="8" s="1"/>
  <c r="M47" i="8"/>
  <c r="M48" i="8"/>
  <c r="O48" i="8" s="1"/>
  <c r="M49" i="8"/>
  <c r="O49" i="8" s="1"/>
  <c r="O50" i="8"/>
  <c r="M52" i="8"/>
  <c r="O52" i="8" s="1"/>
  <c r="M53" i="8"/>
  <c r="M54" i="8"/>
  <c r="O54" i="8" s="1"/>
  <c r="M55" i="8"/>
  <c r="M56" i="8"/>
  <c r="O56" i="8" s="1"/>
  <c r="M57" i="8"/>
  <c r="M58" i="8"/>
  <c r="O58" i="8" s="1"/>
  <c r="M59" i="8"/>
  <c r="M60" i="8"/>
  <c r="O60" i="8" s="1"/>
  <c r="M61" i="8"/>
  <c r="M62" i="8"/>
  <c r="O62" i="8" s="1"/>
  <c r="M63" i="8"/>
  <c r="M64" i="8"/>
  <c r="O64" i="8" s="1"/>
  <c r="M65" i="8"/>
  <c r="M66" i="8"/>
  <c r="O66" i="8" s="1"/>
  <c r="M67" i="8"/>
  <c r="M68" i="8"/>
  <c r="O68" i="8" s="1"/>
  <c r="M69" i="8"/>
  <c r="M70" i="8"/>
  <c r="O70" i="8" s="1"/>
  <c r="M71" i="8"/>
  <c r="M72" i="8"/>
  <c r="O72" i="8" s="1"/>
  <c r="M73" i="8"/>
  <c r="M74" i="8"/>
  <c r="L4" i="10"/>
  <c r="O4" i="10" s="1"/>
  <c r="L6" i="10"/>
  <c r="O6" i="10" s="1"/>
  <c r="L8" i="10"/>
  <c r="O8" i="10" s="1"/>
  <c r="L9" i="10"/>
  <c r="O9" i="10" s="1"/>
  <c r="L11" i="10"/>
  <c r="O11" i="10" s="1"/>
  <c r="L12" i="10"/>
  <c r="O12" i="10" s="1"/>
  <c r="L13" i="10"/>
  <c r="O13" i="10" s="1"/>
  <c r="L14" i="10"/>
  <c r="O14" i="10" s="1"/>
  <c r="L298" i="10"/>
  <c r="O298" i="10" s="1"/>
  <c r="L299" i="10"/>
  <c r="O299" i="10" s="1"/>
  <c r="L300" i="10"/>
  <c r="O300" i="10" s="1"/>
  <c r="L301" i="10"/>
  <c r="O301" i="10" s="1"/>
  <c r="L302" i="10"/>
  <c r="O302" i="10" s="1"/>
  <c r="L303" i="10"/>
  <c r="O303" i="10" s="1"/>
  <c r="L304" i="10"/>
  <c r="O304" i="10" s="1"/>
  <c r="L305" i="10"/>
  <c r="O305" i="10" s="1"/>
  <c r="L306" i="10"/>
  <c r="O306" i="10" s="1"/>
  <c r="L307" i="10"/>
  <c r="O307" i="10" s="1"/>
  <c r="L308" i="10"/>
  <c r="O308" i="10" s="1"/>
  <c r="L309" i="10"/>
  <c r="O309" i="10" s="1"/>
  <c r="L310" i="10"/>
  <c r="O310" i="10" s="1"/>
  <c r="L311" i="10"/>
  <c r="O311" i="10" s="1"/>
  <c r="L312" i="10"/>
  <c r="O312" i="10" s="1"/>
  <c r="L313" i="10"/>
  <c r="O313" i="10" s="1"/>
  <c r="L314" i="10"/>
  <c r="O314" i="10" s="1"/>
  <c r="O42" i="8" l="1"/>
  <c r="O41" i="8"/>
  <c r="O73" i="8"/>
  <c r="O71" i="8"/>
  <c r="O69" i="8"/>
  <c r="O67" i="8"/>
  <c r="O65" i="8"/>
  <c r="O63" i="8"/>
  <c r="O61" i="8"/>
  <c r="O59" i="8"/>
  <c r="O57" i="8"/>
  <c r="O55" i="8"/>
  <c r="O53" i="8"/>
  <c r="O51" i="8"/>
  <c r="O47" i="8"/>
  <c r="O45" i="8"/>
  <c r="O43" i="8"/>
  <c r="O37" i="8"/>
  <c r="O35" i="8"/>
  <c r="O33" i="8"/>
  <c r="O31" i="8"/>
  <c r="O29" i="8"/>
  <c r="O24" i="8"/>
  <c r="O22" i="8"/>
  <c r="O20" i="8"/>
  <c r="O19" i="8"/>
  <c r="D49" i="14"/>
  <c r="L75" i="9"/>
  <c r="K77" i="9" s="1"/>
  <c r="O74" i="8"/>
  <c r="O27" i="8"/>
  <c r="L15" i="10"/>
  <c r="K17" i="10" s="1"/>
  <c r="F6" i="14"/>
  <c r="F9" i="14" s="1"/>
  <c r="E11" i="14" s="1"/>
  <c r="G16" i="14" s="1"/>
  <c r="O22" i="3"/>
  <c r="O23" i="3"/>
  <c r="O35" i="3"/>
  <c r="O36" i="3"/>
  <c r="O64" i="3"/>
  <c r="O65" i="3"/>
  <c r="O66" i="3"/>
  <c r="O67" i="3"/>
  <c r="O68" i="3"/>
  <c r="O69" i="3"/>
  <c r="O70" i="3"/>
  <c r="O71" i="3"/>
  <c r="O73" i="3"/>
  <c r="O74" i="3"/>
  <c r="O75" i="8" l="1"/>
  <c r="C53" i="14"/>
  <c r="E49" i="14"/>
  <c r="O63" i="3"/>
  <c r="M80" i="12" l="1"/>
  <c r="K80" i="12"/>
  <c r="O80" i="12" s="1"/>
  <c r="M79" i="12"/>
  <c r="K79" i="12"/>
  <c r="O79" i="12" s="1"/>
  <c r="M78" i="12"/>
  <c r="K78" i="12"/>
  <c r="O78" i="12" s="1"/>
  <c r="M77" i="12"/>
  <c r="K77" i="12"/>
  <c r="O77" i="12" s="1"/>
  <c r="M76" i="12"/>
  <c r="K76" i="12"/>
  <c r="O76" i="12" s="1"/>
  <c r="M75" i="12"/>
  <c r="K75" i="12"/>
  <c r="O75" i="12" s="1"/>
  <c r="M74" i="12"/>
  <c r="K74" i="12"/>
  <c r="O74" i="12" s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F10" i="1" l="1"/>
  <c r="AD16" i="1"/>
  <c r="AE16" i="1" s="1"/>
  <c r="AD17" i="1"/>
  <c r="AE17" i="1" s="1"/>
  <c r="AD18" i="1"/>
  <c r="AE18" i="1" s="1"/>
  <c r="AD19" i="1"/>
  <c r="AE19" i="1" s="1"/>
  <c r="AD20" i="1"/>
  <c r="AE20" i="1" s="1"/>
  <c r="AD21" i="1"/>
  <c r="AE21" i="1" s="1"/>
  <c r="AD22" i="1"/>
  <c r="AE22" i="1" s="1"/>
  <c r="AD23" i="1"/>
  <c r="AE23" i="1" s="1"/>
  <c r="AD24" i="1"/>
  <c r="AE24" i="1" s="1"/>
  <c r="AD25" i="1"/>
  <c r="AE25" i="1" s="1"/>
  <c r="AD26" i="1"/>
  <c r="AE26" i="1" s="1"/>
  <c r="AD27" i="1"/>
  <c r="AE27" i="1" s="1"/>
  <c r="AD28" i="1"/>
  <c r="AE28" i="1" s="1"/>
  <c r="AD29" i="1"/>
  <c r="AE29" i="1" s="1"/>
  <c r="AD30" i="1"/>
  <c r="AE30" i="1" s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AD11" i="1"/>
  <c r="AE11" i="1" s="1"/>
  <c r="AD12" i="1"/>
  <c r="AE12" i="1" s="1"/>
  <c r="AD13" i="1"/>
  <c r="AE13" i="1" s="1"/>
  <c r="AD14" i="1"/>
  <c r="AE14" i="1" s="1"/>
  <c r="AD15" i="1"/>
  <c r="AE15" i="1" s="1"/>
  <c r="AD10" i="1"/>
  <c r="AE10" i="1" s="1"/>
  <c r="AC10" i="1"/>
  <c r="AA10" i="1"/>
  <c r="Y10" i="1"/>
  <c r="W10" i="1"/>
  <c r="U10" i="1"/>
  <c r="S10" i="1"/>
  <c r="Q10" i="1"/>
  <c r="M10" i="1"/>
  <c r="K10" i="1"/>
  <c r="I10" i="1"/>
  <c r="G10" i="1"/>
  <c r="AG10" i="1" l="1"/>
</calcChain>
</file>

<file path=xl/sharedStrings.xml><?xml version="1.0" encoding="utf-8"?>
<sst xmlns="http://schemas.openxmlformats.org/spreadsheetml/2006/main" count="1916" uniqueCount="831">
  <si>
    <t>Sr/No</t>
  </si>
  <si>
    <t>Owner</t>
  </si>
  <si>
    <t>May</t>
  </si>
  <si>
    <t xml:space="preserve">Total Payment </t>
  </si>
  <si>
    <t>Balance</t>
  </si>
  <si>
    <t>Jan</t>
  </si>
  <si>
    <t>Feb</t>
  </si>
  <si>
    <t>Mar</t>
  </si>
  <si>
    <t>Apr</t>
  </si>
  <si>
    <t>Jun</t>
  </si>
  <si>
    <t>Aug</t>
  </si>
  <si>
    <t>Sep</t>
  </si>
  <si>
    <t>Oct</t>
  </si>
  <si>
    <t>Nov</t>
  </si>
  <si>
    <t>Dec</t>
  </si>
  <si>
    <t>Khan</t>
  </si>
  <si>
    <t>carpet</t>
  </si>
  <si>
    <t>Rent</t>
  </si>
  <si>
    <t xml:space="preserve">Shop Title </t>
  </si>
  <si>
    <t>Shop No</t>
  </si>
  <si>
    <t>July</t>
  </si>
  <si>
    <t>Total Paid</t>
  </si>
  <si>
    <t>Total Unpaid</t>
  </si>
  <si>
    <t>Unpaid</t>
  </si>
  <si>
    <t>Paid</t>
  </si>
  <si>
    <t>.</t>
  </si>
  <si>
    <t xml:space="preserve">  </t>
  </si>
  <si>
    <t xml:space="preserve"> </t>
  </si>
  <si>
    <t xml:space="preserve"> . </t>
  </si>
  <si>
    <t xml:space="preserve">  . </t>
  </si>
  <si>
    <t xml:space="preserve">    .</t>
  </si>
  <si>
    <t xml:space="preserve">. </t>
  </si>
  <si>
    <t xml:space="preserve">. . </t>
  </si>
  <si>
    <t>. . .</t>
  </si>
  <si>
    <t xml:space="preserve">   . </t>
  </si>
  <si>
    <t xml:space="preserve"> .  .</t>
  </si>
  <si>
    <t xml:space="preserve">  .. </t>
  </si>
  <si>
    <t xml:space="preserve">   </t>
  </si>
  <si>
    <t>قرارداد شروع</t>
  </si>
  <si>
    <t>دوکان عنوان</t>
  </si>
  <si>
    <t>دوکان نمبر</t>
  </si>
  <si>
    <t>شماره</t>
  </si>
  <si>
    <t>دوکاندار نوم</t>
  </si>
  <si>
    <t>کرایه</t>
  </si>
  <si>
    <t>ټوټل پاتی پیسی</t>
  </si>
  <si>
    <t>دوکاندار تلیفون نمبر</t>
  </si>
  <si>
    <t>میاشت</t>
  </si>
  <si>
    <t>رخت</t>
  </si>
  <si>
    <t>رحت</t>
  </si>
  <si>
    <t>اول خان</t>
  </si>
  <si>
    <t>د ۵۰ ٪ کرایی درکه</t>
  </si>
  <si>
    <t>میاشتنی کرایه باقی</t>
  </si>
  <si>
    <t>101-A</t>
  </si>
  <si>
    <t>102-A</t>
  </si>
  <si>
    <t>103-A</t>
  </si>
  <si>
    <t>104-A</t>
  </si>
  <si>
    <t>105-A</t>
  </si>
  <si>
    <t>106-A</t>
  </si>
  <si>
    <t>107-A</t>
  </si>
  <si>
    <t>108-A</t>
  </si>
  <si>
    <t>109-A</t>
  </si>
  <si>
    <t>110-A</t>
  </si>
  <si>
    <t>111-A</t>
  </si>
  <si>
    <t>112-A</t>
  </si>
  <si>
    <t>113-A</t>
  </si>
  <si>
    <t>114-A</t>
  </si>
  <si>
    <t>115-A</t>
  </si>
  <si>
    <t>116-A</t>
  </si>
  <si>
    <t>117-A</t>
  </si>
  <si>
    <t>118-A</t>
  </si>
  <si>
    <t>119-A</t>
  </si>
  <si>
    <t>120-A</t>
  </si>
  <si>
    <t>121-A</t>
  </si>
  <si>
    <t>122-A</t>
  </si>
  <si>
    <t>123-A</t>
  </si>
  <si>
    <t>124-A</t>
  </si>
  <si>
    <t>125-A</t>
  </si>
  <si>
    <t>126-A</t>
  </si>
  <si>
    <t>127-A</t>
  </si>
  <si>
    <t>128-A</t>
  </si>
  <si>
    <t>129-A</t>
  </si>
  <si>
    <t>130-A</t>
  </si>
  <si>
    <t>131-A</t>
  </si>
  <si>
    <t>132-A</t>
  </si>
  <si>
    <t>133-A</t>
  </si>
  <si>
    <t>134-A</t>
  </si>
  <si>
    <t>135-A</t>
  </si>
  <si>
    <t>136-A</t>
  </si>
  <si>
    <t>137-A</t>
  </si>
  <si>
    <t>138-A</t>
  </si>
  <si>
    <t>139-A</t>
  </si>
  <si>
    <t>140-A</t>
  </si>
  <si>
    <t>141-A</t>
  </si>
  <si>
    <t>142-A</t>
  </si>
  <si>
    <t>143-A</t>
  </si>
  <si>
    <t>144-A</t>
  </si>
  <si>
    <t>145-A</t>
  </si>
  <si>
    <t>146-A</t>
  </si>
  <si>
    <t>147-A</t>
  </si>
  <si>
    <t>148-A</t>
  </si>
  <si>
    <t>149-A</t>
  </si>
  <si>
    <t>150-A</t>
  </si>
  <si>
    <t>151-A</t>
  </si>
  <si>
    <t>152-A</t>
  </si>
  <si>
    <t>153-A</t>
  </si>
  <si>
    <t>154-A</t>
  </si>
  <si>
    <t>155-A</t>
  </si>
  <si>
    <t>156-A</t>
  </si>
  <si>
    <t>157-A</t>
  </si>
  <si>
    <t>158-A</t>
  </si>
  <si>
    <t>159-A</t>
  </si>
  <si>
    <t>160-A</t>
  </si>
  <si>
    <t>161-B</t>
  </si>
  <si>
    <t>162-B</t>
  </si>
  <si>
    <t>163-B</t>
  </si>
  <si>
    <t>164-B</t>
  </si>
  <si>
    <t>165-B</t>
  </si>
  <si>
    <t>166-B</t>
  </si>
  <si>
    <t>167-B</t>
  </si>
  <si>
    <t>168-B</t>
  </si>
  <si>
    <t>169-B</t>
  </si>
  <si>
    <t>170-B</t>
  </si>
  <si>
    <t>171-B</t>
  </si>
  <si>
    <t>172-B</t>
  </si>
  <si>
    <t>201-C</t>
  </si>
  <si>
    <t>202-C</t>
  </si>
  <si>
    <t>203-C</t>
  </si>
  <si>
    <t>204-C</t>
  </si>
  <si>
    <t>205-C</t>
  </si>
  <si>
    <t>206-C</t>
  </si>
  <si>
    <t>207-C</t>
  </si>
  <si>
    <t>208-C</t>
  </si>
  <si>
    <t>209-C</t>
  </si>
  <si>
    <t>210-C</t>
  </si>
  <si>
    <t>211-C</t>
  </si>
  <si>
    <t>212-C</t>
  </si>
  <si>
    <t>213-C</t>
  </si>
  <si>
    <t>214-C</t>
  </si>
  <si>
    <t>215-C</t>
  </si>
  <si>
    <t>216-C</t>
  </si>
  <si>
    <t>217-C</t>
  </si>
  <si>
    <t>218-C</t>
  </si>
  <si>
    <t>219-C</t>
  </si>
  <si>
    <t>220-C</t>
  </si>
  <si>
    <t>221-C</t>
  </si>
  <si>
    <t>222-C</t>
  </si>
  <si>
    <t>223-C</t>
  </si>
  <si>
    <t>224-C</t>
  </si>
  <si>
    <t>225-C</t>
  </si>
  <si>
    <t>226-C</t>
  </si>
  <si>
    <t>227-C</t>
  </si>
  <si>
    <t>228-C</t>
  </si>
  <si>
    <t>229-C</t>
  </si>
  <si>
    <t>230-C</t>
  </si>
  <si>
    <t>231-C</t>
  </si>
  <si>
    <t>232-C</t>
  </si>
  <si>
    <t>233-C</t>
  </si>
  <si>
    <t>234-C</t>
  </si>
  <si>
    <t>235-C</t>
  </si>
  <si>
    <t>236-C</t>
  </si>
  <si>
    <t>237-C</t>
  </si>
  <si>
    <t>238-C</t>
  </si>
  <si>
    <t>239-C</t>
  </si>
  <si>
    <t>240-C</t>
  </si>
  <si>
    <t>241-C</t>
  </si>
  <si>
    <t>242-C</t>
  </si>
  <si>
    <t>243-C</t>
  </si>
  <si>
    <t>244-C</t>
  </si>
  <si>
    <t>245-C</t>
  </si>
  <si>
    <t>246-C</t>
  </si>
  <si>
    <t>247-C</t>
  </si>
  <si>
    <t>248-C</t>
  </si>
  <si>
    <t>249-C</t>
  </si>
  <si>
    <t>250-C</t>
  </si>
  <si>
    <t>251-C</t>
  </si>
  <si>
    <t>252-C</t>
  </si>
  <si>
    <t>253-C</t>
  </si>
  <si>
    <t>254-C</t>
  </si>
  <si>
    <t>255-C</t>
  </si>
  <si>
    <t>256-C</t>
  </si>
  <si>
    <t>257-C</t>
  </si>
  <si>
    <t>258-C</t>
  </si>
  <si>
    <t>259-C</t>
  </si>
  <si>
    <t>260-C</t>
  </si>
  <si>
    <t>261-B</t>
  </si>
  <si>
    <t>262-B</t>
  </si>
  <si>
    <t>263-B</t>
  </si>
  <si>
    <t>264-B</t>
  </si>
  <si>
    <t>265-B</t>
  </si>
  <si>
    <t>266-B</t>
  </si>
  <si>
    <t>267-B</t>
  </si>
  <si>
    <t>268-B</t>
  </si>
  <si>
    <t>269-B</t>
  </si>
  <si>
    <t>270-B</t>
  </si>
  <si>
    <t>271-B</t>
  </si>
  <si>
    <t>272-B</t>
  </si>
  <si>
    <t>301-D</t>
  </si>
  <si>
    <t>302-D</t>
  </si>
  <si>
    <t>303-D</t>
  </si>
  <si>
    <t>304-D</t>
  </si>
  <si>
    <t>305-D</t>
  </si>
  <si>
    <t>306-D</t>
  </si>
  <si>
    <t>307-D</t>
  </si>
  <si>
    <t>308-D</t>
  </si>
  <si>
    <t>309-D</t>
  </si>
  <si>
    <t>310-D</t>
  </si>
  <si>
    <t>311-D</t>
  </si>
  <si>
    <t>312-D</t>
  </si>
  <si>
    <t>313-D</t>
  </si>
  <si>
    <t>314-D</t>
  </si>
  <si>
    <t>315-D</t>
  </si>
  <si>
    <t>316-D</t>
  </si>
  <si>
    <t>317-D</t>
  </si>
  <si>
    <t>318-D</t>
  </si>
  <si>
    <t>319-D</t>
  </si>
  <si>
    <t>320-D</t>
  </si>
  <si>
    <t>321-D</t>
  </si>
  <si>
    <t>322-D</t>
  </si>
  <si>
    <t>323-D</t>
  </si>
  <si>
    <t>324-D</t>
  </si>
  <si>
    <t>325-D</t>
  </si>
  <si>
    <t>326-D</t>
  </si>
  <si>
    <t>327-D</t>
  </si>
  <si>
    <t>328-D</t>
  </si>
  <si>
    <t>329-D</t>
  </si>
  <si>
    <t>330-D</t>
  </si>
  <si>
    <t>331-D</t>
  </si>
  <si>
    <t>332-D</t>
  </si>
  <si>
    <t>333-D</t>
  </si>
  <si>
    <t>334-D</t>
  </si>
  <si>
    <t>335-D</t>
  </si>
  <si>
    <t>336-D</t>
  </si>
  <si>
    <t>337-D</t>
  </si>
  <si>
    <t>338-D</t>
  </si>
  <si>
    <t>339-D</t>
  </si>
  <si>
    <t>340-D</t>
  </si>
  <si>
    <t>341-D</t>
  </si>
  <si>
    <t>342-D</t>
  </si>
  <si>
    <t>343-D</t>
  </si>
  <si>
    <t>344-D</t>
  </si>
  <si>
    <t>345-D</t>
  </si>
  <si>
    <t>346-D</t>
  </si>
  <si>
    <t>347-D</t>
  </si>
  <si>
    <t>348-D</t>
  </si>
  <si>
    <t>349-D</t>
  </si>
  <si>
    <t>350-D</t>
  </si>
  <si>
    <t>351-D</t>
  </si>
  <si>
    <t>352-D</t>
  </si>
  <si>
    <t>353-D</t>
  </si>
  <si>
    <t>354-D</t>
  </si>
  <si>
    <t>355-D</t>
  </si>
  <si>
    <t>356-D</t>
  </si>
  <si>
    <t>357-D</t>
  </si>
  <si>
    <t>358-D</t>
  </si>
  <si>
    <t>359-D</t>
  </si>
  <si>
    <t>360-D</t>
  </si>
  <si>
    <t>361-B</t>
  </si>
  <si>
    <t>362-B</t>
  </si>
  <si>
    <t>363-B</t>
  </si>
  <si>
    <t>364-B</t>
  </si>
  <si>
    <t>365-B</t>
  </si>
  <si>
    <t>366-B</t>
  </si>
  <si>
    <t>367-B</t>
  </si>
  <si>
    <t>368-B</t>
  </si>
  <si>
    <t>369-B</t>
  </si>
  <si>
    <t>370-B</t>
  </si>
  <si>
    <t>371-B</t>
  </si>
  <si>
    <t>372-B</t>
  </si>
  <si>
    <t>پلار نوم</t>
  </si>
  <si>
    <t>رمضان</t>
  </si>
  <si>
    <t>حاجی موسی خان</t>
  </si>
  <si>
    <t>بوټ</t>
  </si>
  <si>
    <t>سیدامیر</t>
  </si>
  <si>
    <t>حاجی میرسلام</t>
  </si>
  <si>
    <t>رحمت</t>
  </si>
  <si>
    <t>اصیل جان</t>
  </si>
  <si>
    <t>محمد الدین</t>
  </si>
  <si>
    <t>سیدانور شاه</t>
  </si>
  <si>
    <t>ظاهرشاه</t>
  </si>
  <si>
    <t xml:space="preserve">قدرت الله </t>
  </si>
  <si>
    <t>نیک محمد</t>
  </si>
  <si>
    <t>محبوب</t>
  </si>
  <si>
    <t>حاجی محمد</t>
  </si>
  <si>
    <t>عبیدالله</t>
  </si>
  <si>
    <t>عبدالرحمن</t>
  </si>
  <si>
    <t>عادل الرحمن</t>
  </si>
  <si>
    <t>ګل دراز</t>
  </si>
  <si>
    <t>جنت شاه</t>
  </si>
  <si>
    <t>محمدرحیم جان</t>
  </si>
  <si>
    <t>ظاهرجان</t>
  </si>
  <si>
    <t>نورنوازخان</t>
  </si>
  <si>
    <t xml:space="preserve">نیاز محمد </t>
  </si>
  <si>
    <t>ګل محمد</t>
  </si>
  <si>
    <t>همایون</t>
  </si>
  <si>
    <t>میراحمد خان</t>
  </si>
  <si>
    <t>داود متونوال</t>
  </si>
  <si>
    <t>شکورالله جان</t>
  </si>
  <si>
    <t>تاج علی خان</t>
  </si>
  <si>
    <t>کرامت خان</t>
  </si>
  <si>
    <t>یعقوب شاه</t>
  </si>
  <si>
    <t>محمد رقیب شاه</t>
  </si>
  <si>
    <t xml:space="preserve">نعیم </t>
  </si>
  <si>
    <t>سیدامین خان</t>
  </si>
  <si>
    <t>حبیب ګل</t>
  </si>
  <si>
    <t>تور</t>
  </si>
  <si>
    <t>سیدانور</t>
  </si>
  <si>
    <t>محمدولی شاه</t>
  </si>
  <si>
    <t xml:space="preserve">حاجی محمد </t>
  </si>
  <si>
    <t>سلیم محمد</t>
  </si>
  <si>
    <t>شفیع الدین</t>
  </si>
  <si>
    <t>معراج الدین</t>
  </si>
  <si>
    <t>صدام</t>
  </si>
  <si>
    <t>جونک</t>
  </si>
  <si>
    <t>عیدخان</t>
  </si>
  <si>
    <t xml:space="preserve">غلام رسول </t>
  </si>
  <si>
    <t>محمد کبیر</t>
  </si>
  <si>
    <t>پیشکي پیسی</t>
  </si>
  <si>
    <t xml:space="preserve">رحیم الله </t>
  </si>
  <si>
    <t>رحیم ګل</t>
  </si>
  <si>
    <t>ظفر خان</t>
  </si>
  <si>
    <t>بازمحمد</t>
  </si>
  <si>
    <t>رفیق الله</t>
  </si>
  <si>
    <t>وکیل محمد</t>
  </si>
  <si>
    <t>حبیب الله</t>
  </si>
  <si>
    <t>شاه محمد</t>
  </si>
  <si>
    <t>ګل راوف</t>
  </si>
  <si>
    <t>محمد شریف</t>
  </si>
  <si>
    <t>فریدالله</t>
  </si>
  <si>
    <t>حسین محمد</t>
  </si>
  <si>
    <t>سلیم منیب</t>
  </si>
  <si>
    <t>شاه ولی</t>
  </si>
  <si>
    <t>فیض محمد</t>
  </si>
  <si>
    <t>ولی الرحمن</t>
  </si>
  <si>
    <t>ترین خان</t>
  </si>
  <si>
    <t>رحمت الله</t>
  </si>
  <si>
    <t>عنایت الله</t>
  </si>
  <si>
    <t>عبدالهادی</t>
  </si>
  <si>
    <t>محمد نورجان</t>
  </si>
  <si>
    <t>محمد عثمان</t>
  </si>
  <si>
    <t>نورافضل</t>
  </si>
  <si>
    <t>محمد افضل</t>
  </si>
  <si>
    <t>کمال</t>
  </si>
  <si>
    <t>محمد غفار</t>
  </si>
  <si>
    <t>رازق الله</t>
  </si>
  <si>
    <t>برکت نور</t>
  </si>
  <si>
    <t>لطف الله</t>
  </si>
  <si>
    <t>ظفرالله</t>
  </si>
  <si>
    <t>پیشکي</t>
  </si>
  <si>
    <t>قیوم</t>
  </si>
  <si>
    <t>ګلام شاه</t>
  </si>
  <si>
    <t>عیدولی</t>
  </si>
  <si>
    <t>نورحسن</t>
  </si>
  <si>
    <t>میرمادک</t>
  </si>
  <si>
    <t>اسمعیل</t>
  </si>
  <si>
    <t xml:space="preserve">بلال </t>
  </si>
  <si>
    <t>عبدالله خان</t>
  </si>
  <si>
    <t>محمد عمر</t>
  </si>
  <si>
    <t>محمد هاشم</t>
  </si>
  <si>
    <t>زاهد الرحمن</t>
  </si>
  <si>
    <t>میرنوازخان</t>
  </si>
  <si>
    <t>فرید</t>
  </si>
  <si>
    <t>محمدنظیم خان</t>
  </si>
  <si>
    <t>سردارعلی</t>
  </si>
  <si>
    <t>ګل پایوخان</t>
  </si>
  <si>
    <t xml:space="preserve">انور </t>
  </si>
  <si>
    <t>محمدزالی</t>
  </si>
  <si>
    <t>قادرالله</t>
  </si>
  <si>
    <t>ګل روف</t>
  </si>
  <si>
    <t>نادرخان</t>
  </si>
  <si>
    <t>محمد نبی خان</t>
  </si>
  <si>
    <t>بسم الله خان</t>
  </si>
  <si>
    <t>رفیع الله خان</t>
  </si>
  <si>
    <t>محمد انور</t>
  </si>
  <si>
    <t>قیام الدین</t>
  </si>
  <si>
    <t>شیرنواز</t>
  </si>
  <si>
    <t>باخان</t>
  </si>
  <si>
    <t>تاخک</t>
  </si>
  <si>
    <t>عماالدین</t>
  </si>
  <si>
    <t>نورخان</t>
  </si>
  <si>
    <t>ګل ولی خان</t>
  </si>
  <si>
    <t>رحیم الله</t>
  </si>
  <si>
    <t>طاهر خان</t>
  </si>
  <si>
    <t>ګل زاهد</t>
  </si>
  <si>
    <t>جهان ګل</t>
  </si>
  <si>
    <t xml:space="preserve">سردارعلی </t>
  </si>
  <si>
    <t>امین شاه</t>
  </si>
  <si>
    <t>بادشاه خان</t>
  </si>
  <si>
    <t>عثمان</t>
  </si>
  <si>
    <t>حیات شاه</t>
  </si>
  <si>
    <t>محمد اقبال</t>
  </si>
  <si>
    <t>محمود سرور</t>
  </si>
  <si>
    <t>صدراعظم</t>
  </si>
  <si>
    <t>شیرمحمد</t>
  </si>
  <si>
    <t xml:space="preserve">موسی </t>
  </si>
  <si>
    <t>سراج محمد</t>
  </si>
  <si>
    <t>عبدالولی</t>
  </si>
  <si>
    <t>شیر محمد خان</t>
  </si>
  <si>
    <t>حاجی جلیل</t>
  </si>
  <si>
    <t>ثناء الله</t>
  </si>
  <si>
    <t>محمدکریم</t>
  </si>
  <si>
    <t>هارون</t>
  </si>
  <si>
    <t>انځرګل</t>
  </si>
  <si>
    <t>افضل محمد</t>
  </si>
  <si>
    <t>عصمت الله</t>
  </si>
  <si>
    <t>محبوب خان</t>
  </si>
  <si>
    <t>عمران</t>
  </si>
  <si>
    <t>نواب جان</t>
  </si>
  <si>
    <t>نقیب الرحمن</t>
  </si>
  <si>
    <t>بسم الله</t>
  </si>
  <si>
    <t>فیض الله</t>
  </si>
  <si>
    <t>هدایت الله</t>
  </si>
  <si>
    <t>عبدالطیف</t>
  </si>
  <si>
    <t>محمد حکیم</t>
  </si>
  <si>
    <t>محمد سلیم</t>
  </si>
  <si>
    <t>احمد شاه خان</t>
  </si>
  <si>
    <t>احمدالله</t>
  </si>
  <si>
    <t>مسلم جان</t>
  </si>
  <si>
    <t>میاشتنی کرایه</t>
  </si>
  <si>
    <t>عزیز</t>
  </si>
  <si>
    <t>بنجاره</t>
  </si>
  <si>
    <t>فاروق</t>
  </si>
  <si>
    <t>نقیب الله</t>
  </si>
  <si>
    <t>برکت الله</t>
  </si>
  <si>
    <t>امین الله</t>
  </si>
  <si>
    <t>اخسان الله</t>
  </si>
  <si>
    <t>داود جان</t>
  </si>
  <si>
    <t>سمیع الله</t>
  </si>
  <si>
    <t>محمد حسن</t>
  </si>
  <si>
    <t>میرزاجان</t>
  </si>
  <si>
    <t>سیف الرحمن</t>
  </si>
  <si>
    <t>خیال محمد</t>
  </si>
  <si>
    <t>نعیم خان</t>
  </si>
  <si>
    <t>محمد ظاهر</t>
  </si>
  <si>
    <t>سلطان</t>
  </si>
  <si>
    <t>061-B</t>
  </si>
  <si>
    <t>062-B</t>
  </si>
  <si>
    <t>063-B</t>
  </si>
  <si>
    <t>064-B</t>
  </si>
  <si>
    <t>065-B</t>
  </si>
  <si>
    <t>066-B</t>
  </si>
  <si>
    <t>067-B</t>
  </si>
  <si>
    <t>068-B</t>
  </si>
  <si>
    <t>069-B</t>
  </si>
  <si>
    <t>070-B</t>
  </si>
  <si>
    <t>071-B</t>
  </si>
  <si>
    <t>072-B</t>
  </si>
  <si>
    <t xml:space="preserve">عبدالقیوم </t>
  </si>
  <si>
    <t>محمد خان</t>
  </si>
  <si>
    <t>نصیر احمد</t>
  </si>
  <si>
    <t>میرصاحب خان</t>
  </si>
  <si>
    <t>شاکرالله</t>
  </si>
  <si>
    <t>معلم خان</t>
  </si>
  <si>
    <t>یونس</t>
  </si>
  <si>
    <t>انور</t>
  </si>
  <si>
    <t>مدیر</t>
  </si>
  <si>
    <t>سایل میر</t>
  </si>
  <si>
    <t>بصیرالله</t>
  </si>
  <si>
    <t>حمیدالله</t>
  </si>
  <si>
    <t>قادرګل</t>
  </si>
  <si>
    <t>ساجد الرحمن</t>
  </si>
  <si>
    <t>امین جان</t>
  </si>
  <si>
    <t>فرمان الله</t>
  </si>
  <si>
    <t>نصیب الله</t>
  </si>
  <si>
    <t>ګلاب خان</t>
  </si>
  <si>
    <t>محمد الله</t>
  </si>
  <si>
    <t>نبی امین</t>
  </si>
  <si>
    <t>محمد صابر خان</t>
  </si>
  <si>
    <t>جاوید</t>
  </si>
  <si>
    <t>حافظ الله</t>
  </si>
  <si>
    <t>نجیب الله</t>
  </si>
  <si>
    <t>محمد سردار</t>
  </si>
  <si>
    <t>محمد عارف خان</t>
  </si>
  <si>
    <t>سیدمیر</t>
  </si>
  <si>
    <t>غرنی ګل</t>
  </si>
  <si>
    <t>ګلاپ میر</t>
  </si>
  <si>
    <t>عبدالرازق</t>
  </si>
  <si>
    <t>لاهورخان</t>
  </si>
  <si>
    <t>الهام الدین</t>
  </si>
  <si>
    <t>صاحب شاه</t>
  </si>
  <si>
    <t>طوطاخیل</t>
  </si>
  <si>
    <t>خان خیل</t>
  </si>
  <si>
    <t>عبدالکریم</t>
  </si>
  <si>
    <t>عزت خان</t>
  </si>
  <si>
    <t>نواب خان</t>
  </si>
  <si>
    <t>واحدالله</t>
  </si>
  <si>
    <t>محمدنبی</t>
  </si>
  <si>
    <t>رحمت خان</t>
  </si>
  <si>
    <t>تزګري شماره</t>
  </si>
  <si>
    <t>تزګره شماره</t>
  </si>
  <si>
    <t>تزګری شماره</t>
  </si>
  <si>
    <t>مغازه</t>
  </si>
  <si>
    <t>پارګینګ</t>
  </si>
  <si>
    <t>محمد اشرف</t>
  </si>
  <si>
    <t>محمد ایوب</t>
  </si>
  <si>
    <t>خلیل الرحمن</t>
  </si>
  <si>
    <t>دفتر</t>
  </si>
  <si>
    <t>عفارالله</t>
  </si>
  <si>
    <t>بسم الله ګل</t>
  </si>
  <si>
    <t>سنبله</t>
  </si>
  <si>
    <t>میزان</t>
  </si>
  <si>
    <t>عقرب</t>
  </si>
  <si>
    <t xml:space="preserve">قوس </t>
  </si>
  <si>
    <t>جدی</t>
  </si>
  <si>
    <t>دلو</t>
  </si>
  <si>
    <t>حوت</t>
  </si>
  <si>
    <t>ماشوم</t>
  </si>
  <si>
    <t>نیکه نوم</t>
  </si>
  <si>
    <t>ګل حمزه</t>
  </si>
  <si>
    <t>کلی</t>
  </si>
  <si>
    <t>ناکام کلی</t>
  </si>
  <si>
    <t>خان حسین</t>
  </si>
  <si>
    <t>نبی کلی لکڼ</t>
  </si>
  <si>
    <t>ایرمحمد</t>
  </si>
  <si>
    <t>جارکلی تریزی</t>
  </si>
  <si>
    <t>حیرالله</t>
  </si>
  <si>
    <t>ګربز شیخامیر</t>
  </si>
  <si>
    <t>خیدرخیل</t>
  </si>
  <si>
    <t>محمد مبارک</t>
  </si>
  <si>
    <t>زمبر</t>
  </si>
  <si>
    <t>حواض ګل</t>
  </si>
  <si>
    <t>ملتان</t>
  </si>
  <si>
    <t>کوټکی الګډه</t>
  </si>
  <si>
    <t>علیم خان</t>
  </si>
  <si>
    <t>مرکز</t>
  </si>
  <si>
    <t>محمد عالم</t>
  </si>
  <si>
    <t>درش کلی متون</t>
  </si>
  <si>
    <t>امیرخان</t>
  </si>
  <si>
    <t>درکوټی متون</t>
  </si>
  <si>
    <t>محمد حسین</t>
  </si>
  <si>
    <t>سونی سرخ خیدرخیل</t>
  </si>
  <si>
    <t>ګل بات</t>
  </si>
  <si>
    <t>متون کوړیان</t>
  </si>
  <si>
    <t>عبدالستار</t>
  </si>
  <si>
    <t>مندوزیوخان</t>
  </si>
  <si>
    <t>محمودسرور</t>
  </si>
  <si>
    <t>لنډی متون</t>
  </si>
  <si>
    <t>پاچا</t>
  </si>
  <si>
    <t>وړوکلی ګربز</t>
  </si>
  <si>
    <t>عبدالودود</t>
  </si>
  <si>
    <t>متون حلیصی کلی</t>
  </si>
  <si>
    <t>ګلام</t>
  </si>
  <si>
    <t>خوست</t>
  </si>
  <si>
    <t>نجیم خان</t>
  </si>
  <si>
    <t>اوړی اسپره</t>
  </si>
  <si>
    <t>تاره ګل</t>
  </si>
  <si>
    <t>متون مرکز</t>
  </si>
  <si>
    <t>ګل باد</t>
  </si>
  <si>
    <t>کوړیان متون</t>
  </si>
  <si>
    <t>سحی</t>
  </si>
  <si>
    <t>صبری</t>
  </si>
  <si>
    <t>متون لنډی</t>
  </si>
  <si>
    <t>سیدمحمد</t>
  </si>
  <si>
    <t>لټک</t>
  </si>
  <si>
    <t>نیازمحمد</t>
  </si>
  <si>
    <t>محانی کلی</t>
  </si>
  <si>
    <t>ګلات خان</t>
  </si>
  <si>
    <t>کوریان</t>
  </si>
  <si>
    <t>محمد نور</t>
  </si>
  <si>
    <t>o5972</t>
  </si>
  <si>
    <t>نوردوله</t>
  </si>
  <si>
    <t>مادی خان</t>
  </si>
  <si>
    <t>کونډی متون</t>
  </si>
  <si>
    <t>محمد جان</t>
  </si>
  <si>
    <t>شیخ امیر</t>
  </si>
  <si>
    <t>ګل حبیب</t>
  </si>
  <si>
    <t>کتد خیل</t>
  </si>
  <si>
    <t>جمال الدین</t>
  </si>
  <si>
    <t>مندوخیل متون</t>
  </si>
  <si>
    <t>عبدالصمد</t>
  </si>
  <si>
    <t>متون دری</t>
  </si>
  <si>
    <t>محمد حلیم</t>
  </si>
  <si>
    <t>خالیصه متون</t>
  </si>
  <si>
    <t>ګل خان</t>
  </si>
  <si>
    <t>حانان</t>
  </si>
  <si>
    <t>متون درخیل</t>
  </si>
  <si>
    <t>جیواګل</t>
  </si>
  <si>
    <t>عمرګل</t>
  </si>
  <si>
    <t>سپیره</t>
  </si>
  <si>
    <t>سرورخان</t>
  </si>
  <si>
    <t xml:space="preserve">اریوب ځاځی </t>
  </si>
  <si>
    <t>حبیب الله خان</t>
  </si>
  <si>
    <t>زوته خان</t>
  </si>
  <si>
    <t>صمیم</t>
  </si>
  <si>
    <t>پکتیا</t>
  </si>
  <si>
    <t>خان سردار</t>
  </si>
  <si>
    <t>بخت میر</t>
  </si>
  <si>
    <t>امیر</t>
  </si>
  <si>
    <t>خوست موسی خیل</t>
  </si>
  <si>
    <t>حاجی ننګرهاری</t>
  </si>
  <si>
    <t>اصغرخیل</t>
  </si>
  <si>
    <t>الکه دار</t>
  </si>
  <si>
    <t>جرم</t>
  </si>
  <si>
    <t>علام شاه</t>
  </si>
  <si>
    <t>ګلانور</t>
  </si>
  <si>
    <t>حاجی عید محمد</t>
  </si>
  <si>
    <t>شریف خان</t>
  </si>
  <si>
    <t>خبش خیل متون</t>
  </si>
  <si>
    <t>سدیجان</t>
  </si>
  <si>
    <t>تنی</t>
  </si>
  <si>
    <t>اکبرعلی خان</t>
  </si>
  <si>
    <t>لټک خوست</t>
  </si>
  <si>
    <t>موسی خان</t>
  </si>
  <si>
    <t>لکن کمرسر</t>
  </si>
  <si>
    <t>مرمندی شمل</t>
  </si>
  <si>
    <t>عبدالحنان</t>
  </si>
  <si>
    <t>ماڼی متون</t>
  </si>
  <si>
    <t>محمد نواب</t>
  </si>
  <si>
    <t>تریزی</t>
  </si>
  <si>
    <t>امیرمحمد</t>
  </si>
  <si>
    <t>تیریزی</t>
  </si>
  <si>
    <t>ګل احمد شاه</t>
  </si>
  <si>
    <t>عبدالجان</t>
  </si>
  <si>
    <t>متون منی</t>
  </si>
  <si>
    <t>شیرمادک</t>
  </si>
  <si>
    <t>بوره خیل</t>
  </si>
  <si>
    <t>شاه محمود</t>
  </si>
  <si>
    <t>عظیم الدین</t>
  </si>
  <si>
    <t>ګلبا</t>
  </si>
  <si>
    <t>قادرشاه</t>
  </si>
  <si>
    <t>ګلاخان</t>
  </si>
  <si>
    <t>توراوړی متون</t>
  </si>
  <si>
    <t>نیاز ګل</t>
  </si>
  <si>
    <t>محمدعمر</t>
  </si>
  <si>
    <t>شمل</t>
  </si>
  <si>
    <t>زرمه الدین</t>
  </si>
  <si>
    <t>ځاځی میدان</t>
  </si>
  <si>
    <t>نیک</t>
  </si>
  <si>
    <t>ورغه</t>
  </si>
  <si>
    <t>غازی میرجان</t>
  </si>
  <si>
    <t>شیرزاخان</t>
  </si>
  <si>
    <t>حیدرګل</t>
  </si>
  <si>
    <t>شیرالله خان</t>
  </si>
  <si>
    <t>کریم محمد</t>
  </si>
  <si>
    <t>مندخیل متون</t>
  </si>
  <si>
    <t xml:space="preserve">ګل مت خان </t>
  </si>
  <si>
    <t>چیغی کلی</t>
  </si>
  <si>
    <t>سید</t>
  </si>
  <si>
    <t>ظاهر شاه</t>
  </si>
  <si>
    <t>شیربادشاه</t>
  </si>
  <si>
    <t>علمت خان</t>
  </si>
  <si>
    <t>حیدرخیل</t>
  </si>
  <si>
    <t>مایف</t>
  </si>
  <si>
    <t>محمد شاه</t>
  </si>
  <si>
    <t>ظریف خان</t>
  </si>
  <si>
    <t>عرفات ګل</t>
  </si>
  <si>
    <t>سلیم خان</t>
  </si>
  <si>
    <t>ګل میر</t>
  </si>
  <si>
    <t>مدیخیل</t>
  </si>
  <si>
    <t>بادشاه ګل</t>
  </si>
  <si>
    <t>درکوټی مندوزی</t>
  </si>
  <si>
    <t>علی مسنور</t>
  </si>
  <si>
    <t>اسمعیل ګل</t>
  </si>
  <si>
    <t>نشته</t>
  </si>
  <si>
    <t>کمال الدین</t>
  </si>
  <si>
    <t>عبدالعزیز</t>
  </si>
  <si>
    <t>حانه حسن</t>
  </si>
  <si>
    <t>جشن خیل</t>
  </si>
  <si>
    <t>حانانی</t>
  </si>
  <si>
    <t>سید امین خان</t>
  </si>
  <si>
    <t>مدیخیل متون</t>
  </si>
  <si>
    <t>حزب الله</t>
  </si>
  <si>
    <t>ګلاب پیر</t>
  </si>
  <si>
    <t>احمد جان</t>
  </si>
  <si>
    <t>حسن ګل</t>
  </si>
  <si>
    <t>ګل مرجان</t>
  </si>
  <si>
    <t>خلبسات</t>
  </si>
  <si>
    <t xml:space="preserve">کلی </t>
  </si>
  <si>
    <t>علی مت خان</t>
  </si>
  <si>
    <t>عبدالباقی</t>
  </si>
  <si>
    <t>حاجی ګل مرجان</t>
  </si>
  <si>
    <t>کوچی</t>
  </si>
  <si>
    <t>طالب خان</t>
  </si>
  <si>
    <t>ظاله خان</t>
  </si>
  <si>
    <t>رسول نسیم</t>
  </si>
  <si>
    <t>تن</t>
  </si>
  <si>
    <t>مومین</t>
  </si>
  <si>
    <t>غلام جان</t>
  </si>
  <si>
    <t>حکیم خان</t>
  </si>
  <si>
    <t>متون</t>
  </si>
  <si>
    <t>مزری</t>
  </si>
  <si>
    <t>میرګل</t>
  </si>
  <si>
    <t>ډدوال</t>
  </si>
  <si>
    <t>صفت الله</t>
  </si>
  <si>
    <t>بسم الله جان</t>
  </si>
  <si>
    <t>سلیم زوی</t>
  </si>
  <si>
    <t>لیفت</t>
  </si>
  <si>
    <t>1-T-B</t>
  </si>
  <si>
    <t>2-T-B</t>
  </si>
  <si>
    <t>3-T-C</t>
  </si>
  <si>
    <t>4-T-C</t>
  </si>
  <si>
    <t>5-TD</t>
  </si>
  <si>
    <t>زاهد ګل</t>
  </si>
  <si>
    <t>شیر احمد خان</t>
  </si>
  <si>
    <t>شیرعلی خان</t>
  </si>
  <si>
    <t>میوند</t>
  </si>
  <si>
    <t>بـــــــــــــــــوټ منــــــــــــــــــــزل</t>
  </si>
  <si>
    <t>بـــــنـــــــــــــــــجاره</t>
  </si>
  <si>
    <t>رخـــــــــــــت مــــــــنـــــــزل</t>
  </si>
  <si>
    <t>مـــــــــــــغــــــــازې مـــــــنـــــــزل</t>
  </si>
  <si>
    <t>ټپری T</t>
  </si>
  <si>
    <t>د پیشکی څخه د میاشتنی ۵۰ ٪ کټ باقی پیسی</t>
  </si>
  <si>
    <t>مغازې</t>
  </si>
  <si>
    <t>ټپری</t>
  </si>
  <si>
    <t>مهدی</t>
  </si>
  <si>
    <t>سامان</t>
  </si>
  <si>
    <t>باقی</t>
  </si>
  <si>
    <t>کرایه بدون د پیشکی</t>
  </si>
  <si>
    <t>جمله کرایه او پیشکی</t>
  </si>
  <si>
    <t>د ماشوم د رخت دوکان له درکه جاوید الله</t>
  </si>
  <si>
    <t>جمله کرایه نغدې</t>
  </si>
  <si>
    <t>د منشی نبی</t>
  </si>
  <si>
    <t>صفاکار</t>
  </si>
  <si>
    <t>بدون د مصارفو پاتې پیسې</t>
  </si>
  <si>
    <t>پیشکی ۵۰ ٪ مجرایی</t>
  </si>
  <si>
    <t>یوه برخه</t>
  </si>
  <si>
    <t>څلور برخې</t>
  </si>
  <si>
    <t>غفار الله حساب</t>
  </si>
  <si>
    <t>صالح الدین</t>
  </si>
  <si>
    <t>صحب الله خان</t>
  </si>
  <si>
    <t>ملال ګل</t>
  </si>
  <si>
    <t>خالد</t>
  </si>
  <si>
    <t>ظفر الله</t>
  </si>
  <si>
    <t xml:space="preserve">عبدالقادیر </t>
  </si>
  <si>
    <t>محمد ینوس</t>
  </si>
  <si>
    <t>پیر محمد</t>
  </si>
  <si>
    <t>پټاری متون</t>
  </si>
  <si>
    <t>عبدالقدوس</t>
  </si>
  <si>
    <t>قدرت والی</t>
  </si>
  <si>
    <t>بوت</t>
  </si>
  <si>
    <t>مغازی</t>
  </si>
  <si>
    <t>جمله کرایه</t>
  </si>
  <si>
    <t>۵۰٪ پیشکی</t>
  </si>
  <si>
    <t>فرق</t>
  </si>
  <si>
    <t xml:space="preserve">د پیشکی له درکه مکمله </t>
  </si>
  <si>
    <t xml:space="preserve">رایس خان </t>
  </si>
  <si>
    <t>رحمن ملوک</t>
  </si>
  <si>
    <t>وزیر</t>
  </si>
  <si>
    <t>زینت الله</t>
  </si>
  <si>
    <t>o9142</t>
  </si>
  <si>
    <t xml:space="preserve">10000 $ </t>
  </si>
  <si>
    <t>غفارالله شحصی اخیستي دی پیسی د ماشوم څخه</t>
  </si>
  <si>
    <t xml:space="preserve">رفیع الله </t>
  </si>
  <si>
    <t>محمد شفیق</t>
  </si>
  <si>
    <t>غازی میر جان</t>
  </si>
  <si>
    <t>محمدایوب</t>
  </si>
  <si>
    <t>3500 $</t>
  </si>
  <si>
    <t>لباس</t>
  </si>
  <si>
    <t>نورنګ</t>
  </si>
  <si>
    <t>محمدعظیم</t>
  </si>
  <si>
    <t>فضل نیازی</t>
  </si>
  <si>
    <t>قسمت الله</t>
  </si>
  <si>
    <t>غازی جان</t>
  </si>
  <si>
    <t>12/01/1402</t>
  </si>
  <si>
    <t>پارکینګ</t>
  </si>
  <si>
    <t>خوت</t>
  </si>
  <si>
    <t>ملا معاش</t>
  </si>
  <si>
    <t>د ۱۴۰۲ کال خوت اول تاریخ څخه کرایه شروع شوه.</t>
  </si>
  <si>
    <t>جاوید 12000 منفی</t>
  </si>
  <si>
    <t>ماشوم 2500  منفی</t>
  </si>
  <si>
    <t>اخری حساب</t>
  </si>
  <si>
    <t>6-T-B</t>
  </si>
  <si>
    <t>داود</t>
  </si>
  <si>
    <t>د همدغې ټپریو کرایه د ۱۴۰۳/۰۱/۰۱ څخه کرایه شروع شوه</t>
  </si>
  <si>
    <t>د ۳۶۱ څخه تر ۳۷۲ پورې ۱۴۰۳/۰۱/۰۱ کرایه شروع شوه.</t>
  </si>
  <si>
    <t>7-T-B0</t>
  </si>
  <si>
    <t>خیرالله منګل</t>
  </si>
  <si>
    <t>حمل</t>
  </si>
  <si>
    <t>عرفه</t>
  </si>
  <si>
    <t>8-T-B0</t>
  </si>
  <si>
    <t>9-T-B0</t>
  </si>
  <si>
    <t>فرید الله</t>
  </si>
  <si>
    <t>10-T-B0</t>
  </si>
  <si>
    <t>11-T-B0</t>
  </si>
  <si>
    <t>امان الله</t>
  </si>
  <si>
    <t>12-T-B0</t>
  </si>
  <si>
    <t>13-T-B0</t>
  </si>
  <si>
    <t>14-T-B0</t>
  </si>
  <si>
    <t>شوکت</t>
  </si>
  <si>
    <t>15-T-B1</t>
  </si>
  <si>
    <t>حکیم شاه</t>
  </si>
  <si>
    <t>16-T-B1</t>
  </si>
  <si>
    <t>روپی پاتی دی</t>
  </si>
  <si>
    <t>17-T-B1</t>
  </si>
  <si>
    <t>18-T-B1</t>
  </si>
  <si>
    <t>نصیرالله</t>
  </si>
  <si>
    <t>19-T-B1</t>
  </si>
  <si>
    <t>20-T-B1</t>
  </si>
  <si>
    <t>21-T-B1</t>
  </si>
  <si>
    <t>22-T-B1</t>
  </si>
  <si>
    <t>شفیق</t>
  </si>
  <si>
    <t>23-T-C</t>
  </si>
  <si>
    <t>24-T-C</t>
  </si>
  <si>
    <t>25-T-C</t>
  </si>
  <si>
    <t>26-T-C</t>
  </si>
  <si>
    <t>27-T-C</t>
  </si>
  <si>
    <t>28-T-C</t>
  </si>
  <si>
    <t>29-T-C</t>
  </si>
  <si>
    <t>30-T-C</t>
  </si>
  <si>
    <t>عارف</t>
  </si>
  <si>
    <t>31-T-D</t>
  </si>
  <si>
    <t>عبدالقیوم</t>
  </si>
  <si>
    <t>32-T-D</t>
  </si>
  <si>
    <t>33-T-D</t>
  </si>
  <si>
    <t>34-T-D</t>
  </si>
  <si>
    <t>35-T-D</t>
  </si>
  <si>
    <t>36-T-D</t>
  </si>
  <si>
    <t>37-T-D</t>
  </si>
  <si>
    <t>38-T-D</t>
  </si>
  <si>
    <t>41-T-D</t>
  </si>
  <si>
    <t>روح الله</t>
  </si>
  <si>
    <t>01/01/1403</t>
  </si>
  <si>
    <t>باقی مارکیت</t>
  </si>
  <si>
    <t>کرتسیه</t>
  </si>
  <si>
    <t>دولت مالیاتو او ښاروالی تکس لپاره په صرافی کې جمع شوي</t>
  </si>
  <si>
    <t>حامد خان</t>
  </si>
  <si>
    <t>عثمان باقی در به یی کړی</t>
  </si>
  <si>
    <t>20000 منفی د پارکینک څخه</t>
  </si>
  <si>
    <t>کرایه د پیشکی څخه بغیرمارکیت کرایه</t>
  </si>
  <si>
    <t>پارکینګ روپی</t>
  </si>
  <si>
    <t>عبدالمجید</t>
  </si>
  <si>
    <t>ثور</t>
  </si>
  <si>
    <t>01/02/1403</t>
  </si>
  <si>
    <t>معاف په ثور میاشت کي</t>
  </si>
  <si>
    <t>S</t>
  </si>
  <si>
    <t>بند دی</t>
  </si>
  <si>
    <t>جوزا</t>
  </si>
  <si>
    <t>مالیاتو ته جمع</t>
  </si>
  <si>
    <t>دوکان خرڅوی چی خرڅ شی نو بیا به یی مجرا کړی</t>
  </si>
  <si>
    <t>د مرحوم الحاج عبدالوکیل خان مارکیټ داسد میاشتې عمومې خساب (1403/05/30)</t>
  </si>
  <si>
    <t>اسد</t>
  </si>
  <si>
    <t>نوټ : د ځمکی په حصه کي ډاکټر لطف الله نشته چې هغوی خپله برخه روپی اخستي دی.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</si>
</sst>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[$AFN]\ * #,##0_);_([$AFN]\ * \(#,##0\);_([$AFN]\ * &quot;-&quot;??_);_(@_)"/>
    <numFmt numFmtId="166" formatCode="[$-3000401]0"/>
  </numFmts>
  <fonts count="26"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theme="1"/>
      <name val="1_Khalid Pashto{IslamicSoft}"/>
      <charset val="178"/>
    </font>
    <font>
      <sz val="14"/>
      <color rgb="FFC00000"/>
      <name val="1_Abdali Pashto{IslamicSoft}"/>
      <charset val="178"/>
    </font>
    <font>
      <sz val="11"/>
      <color rgb="FFC00000"/>
      <name val="1_Abdali Pashto{IslamicSoft}"/>
      <charset val="178"/>
    </font>
    <font>
      <b/>
      <sz val="14"/>
      <color theme="1"/>
      <name val="Calibri"/>
      <family val="2"/>
      <scheme val="minor"/>
    </font>
    <font>
      <b/>
      <sz val="14"/>
      <color rgb="FFC00000"/>
      <name val="Bahij Zar"/>
      <family val="1"/>
    </font>
    <font>
      <b/>
      <sz val="11"/>
      <color rgb="FFC00000"/>
      <name val="Bahij Zar"/>
      <family val="1"/>
    </font>
    <font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rgb="FFC00000"/>
      <name val="Bahij Zar"/>
      <family val="1"/>
    </font>
    <font>
      <b/>
      <sz val="12"/>
      <color rgb="FFC00000"/>
      <name val="Bahij Zar"/>
      <family val="1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2"/>
      <color rgb="FFC00000"/>
      <name val="Bahij Zar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24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5" borderId="1" xfId="0" applyFill="1" applyBorder="1"/>
    <xf numFmtId="0" fontId="0" fillId="5" borderId="3" xfId="0" applyFill="1" applyBorder="1"/>
    <xf numFmtId="0" fontId="0" fillId="5" borderId="0" xfId="0" applyFill="1"/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7" borderId="1" xfId="0" applyFill="1" applyBorder="1"/>
    <xf numFmtId="0" fontId="0" fillId="6" borderId="0" xfId="0" applyFill="1"/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3" borderId="3" xfId="0" applyFill="1" applyBorder="1"/>
    <xf numFmtId="0" fontId="0" fillId="3" borderId="0" xfId="0" applyFill="1"/>
    <xf numFmtId="0" fontId="0" fillId="7" borderId="0" xfId="0" applyFill="1"/>
    <xf numFmtId="0" fontId="3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/>
    </xf>
    <xf numFmtId="0" fontId="0" fillId="0" borderId="0" xfId="0" applyAlignment="1"/>
    <xf numFmtId="0" fontId="4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0" fillId="0" borderId="9" xfId="0" applyBorder="1" applyAlignment="1" applyProtection="1">
      <protection locked="0"/>
    </xf>
    <xf numFmtId="0" fontId="0" fillId="0" borderId="1" xfId="0" applyBorder="1" applyAlignment="1" applyProtection="1">
      <protection locked="0"/>
    </xf>
    <xf numFmtId="15" fontId="0" fillId="0" borderId="1" xfId="0" applyNumberFormat="1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4" borderId="10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vertical="center" wrapText="1"/>
    </xf>
    <xf numFmtId="49" fontId="0" fillId="0" borderId="1" xfId="0" applyNumberFormat="1" applyBorder="1" applyAlignment="1" applyProtection="1">
      <protection locked="0"/>
    </xf>
    <xf numFmtId="0" fontId="7" fillId="4" borderId="20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7" fillId="4" borderId="14" xfId="0" applyFont="1" applyFill="1" applyBorder="1" applyAlignment="1">
      <alignment vertical="center"/>
    </xf>
    <xf numFmtId="164" fontId="0" fillId="0" borderId="1" xfId="1" applyNumberFormat="1" applyFont="1" applyBorder="1" applyAlignment="1" applyProtection="1">
      <protection locked="0"/>
    </xf>
    <xf numFmtId="165" fontId="0" fillId="0" borderId="1" xfId="4" applyNumberFormat="1" applyFont="1" applyBorder="1" applyAlignment="1" applyProtection="1">
      <protection locked="0"/>
    </xf>
    <xf numFmtId="165" fontId="0" fillId="0" borderId="1" xfId="1" applyNumberFormat="1" applyFont="1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0" fillId="0" borderId="0" xfId="0" applyBorder="1" applyAlignment="1" applyProtection="1">
      <protection locked="0"/>
    </xf>
    <xf numFmtId="166" fontId="0" fillId="0" borderId="1" xfId="0" applyNumberFormat="1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0" fillId="0" borderId="21" xfId="0" applyBorder="1" applyAlignment="1" applyProtection="1">
      <protection locked="0"/>
    </xf>
    <xf numFmtId="49" fontId="0" fillId="0" borderId="10" xfId="0" applyNumberFormat="1" applyBorder="1" applyAlignment="1" applyProtection="1">
      <protection locked="0"/>
    </xf>
    <xf numFmtId="166" fontId="0" fillId="0" borderId="10" xfId="0" applyNumberFormat="1" applyBorder="1" applyAlignment="1" applyProtection="1">
      <protection locked="0"/>
    </xf>
    <xf numFmtId="165" fontId="0" fillId="0" borderId="10" xfId="1" applyNumberFormat="1" applyFont="1" applyBorder="1" applyAlignment="1" applyProtection="1">
      <protection locked="0"/>
    </xf>
    <xf numFmtId="165" fontId="0" fillId="0" borderId="0" xfId="1" applyNumberFormat="1" applyFont="1" applyAlignment="1"/>
    <xf numFmtId="0" fontId="6" fillId="4" borderId="20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11" fillId="4" borderId="20" xfId="0" applyFont="1" applyFill="1" applyBorder="1" applyAlignment="1">
      <alignment vertical="center" wrapText="1"/>
    </xf>
    <xf numFmtId="0" fontId="11" fillId="4" borderId="10" xfId="0" applyFont="1" applyFill="1" applyBorder="1" applyAlignment="1">
      <alignment vertical="center" wrapText="1"/>
    </xf>
    <xf numFmtId="0" fontId="11" fillId="4" borderId="14" xfId="0" applyFont="1" applyFill="1" applyBorder="1" applyAlignment="1">
      <alignment vertical="center" wrapText="1"/>
    </xf>
    <xf numFmtId="0" fontId="12" fillId="0" borderId="0" xfId="0" applyFont="1" applyAlignment="1">
      <alignment wrapText="1"/>
    </xf>
    <xf numFmtId="0" fontId="0" fillId="2" borderId="9" xfId="0" applyFill="1" applyBorder="1" applyAlignment="1" applyProtection="1">
      <protection locked="0"/>
    </xf>
    <xf numFmtId="0" fontId="0" fillId="2" borderId="1" xfId="0" applyFill="1" applyBorder="1" applyAlignment="1" applyProtection="1">
      <protection locked="0"/>
    </xf>
    <xf numFmtId="15" fontId="0" fillId="2" borderId="1" xfId="0" applyNumberFormat="1" applyFill="1" applyBorder="1" applyAlignment="1" applyProtection="1">
      <protection locked="0"/>
    </xf>
    <xf numFmtId="165" fontId="0" fillId="2" borderId="1" xfId="1" applyNumberFormat="1" applyFont="1" applyFill="1" applyBorder="1" applyAlignment="1" applyProtection="1">
      <protection locked="0"/>
    </xf>
    <xf numFmtId="164" fontId="0" fillId="2" borderId="1" xfId="1" applyNumberFormat="1" applyFont="1" applyFill="1" applyBorder="1" applyAlignment="1" applyProtection="1">
      <protection locked="0"/>
    </xf>
    <xf numFmtId="0" fontId="0" fillId="2" borderId="0" xfId="0" applyFill="1"/>
    <xf numFmtId="0" fontId="0" fillId="10" borderId="9" xfId="0" applyFill="1" applyBorder="1" applyAlignment="1" applyProtection="1">
      <protection locked="0"/>
    </xf>
    <xf numFmtId="0" fontId="0" fillId="10" borderId="1" xfId="0" applyFill="1" applyBorder="1" applyAlignment="1" applyProtection="1">
      <protection locked="0"/>
    </xf>
    <xf numFmtId="165" fontId="0" fillId="10" borderId="1" xfId="1" applyNumberFormat="1" applyFont="1" applyFill="1" applyBorder="1" applyAlignment="1" applyProtection="1">
      <protection locked="0"/>
    </xf>
    <xf numFmtId="0" fontId="0" fillId="10" borderId="0" xfId="0" applyFill="1"/>
    <xf numFmtId="0" fontId="0" fillId="13" borderId="9" xfId="0" applyFill="1" applyBorder="1" applyAlignment="1" applyProtection="1">
      <protection locked="0"/>
    </xf>
    <xf numFmtId="0" fontId="0" fillId="13" borderId="1" xfId="0" applyFill="1" applyBorder="1" applyAlignment="1" applyProtection="1">
      <protection locked="0"/>
    </xf>
    <xf numFmtId="165" fontId="0" fillId="13" borderId="1" xfId="1" applyNumberFormat="1" applyFont="1" applyFill="1" applyBorder="1" applyAlignment="1" applyProtection="1">
      <protection locked="0"/>
    </xf>
    <xf numFmtId="164" fontId="0" fillId="13" borderId="1" xfId="1" applyNumberFormat="1" applyFont="1" applyFill="1" applyBorder="1" applyAlignment="1" applyProtection="1">
      <protection locked="0"/>
    </xf>
    <xf numFmtId="0" fontId="0" fillId="13" borderId="0" xfId="0" applyFill="1"/>
    <xf numFmtId="0" fontId="0" fillId="6" borderId="9" xfId="0" applyFill="1" applyBorder="1" applyAlignment="1" applyProtection="1">
      <protection locked="0"/>
    </xf>
    <xf numFmtId="0" fontId="0" fillId="6" borderId="1" xfId="0" applyFill="1" applyBorder="1" applyAlignment="1" applyProtection="1">
      <protection locked="0"/>
    </xf>
    <xf numFmtId="0" fontId="0" fillId="3" borderId="9" xfId="0" applyFill="1" applyBorder="1" applyAlignment="1" applyProtection="1">
      <protection locked="0"/>
    </xf>
    <xf numFmtId="0" fontId="0" fillId="3" borderId="1" xfId="0" applyFill="1" applyBorder="1" applyAlignment="1" applyProtection="1">
      <protection locked="0"/>
    </xf>
    <xf numFmtId="165" fontId="0" fillId="3" borderId="1" xfId="1" applyNumberFormat="1" applyFont="1" applyFill="1" applyBorder="1" applyAlignment="1" applyProtection="1">
      <protection locked="0"/>
    </xf>
    <xf numFmtId="164" fontId="0" fillId="3" borderId="1" xfId="1" applyNumberFormat="1" applyFont="1" applyFill="1" applyBorder="1" applyAlignment="1" applyProtection="1">
      <protection locked="0"/>
    </xf>
    <xf numFmtId="0" fontId="0" fillId="3" borderId="0" xfId="0" applyFill="1" applyAlignment="1" applyProtection="1">
      <protection locked="0"/>
    </xf>
    <xf numFmtId="0" fontId="0" fillId="13" borderId="0" xfId="0" applyFill="1" applyAlignment="1" applyProtection="1">
      <protection locked="0"/>
    </xf>
    <xf numFmtId="0" fontId="0" fillId="14" borderId="9" xfId="0" applyFill="1" applyBorder="1" applyAlignment="1" applyProtection="1">
      <protection locked="0"/>
    </xf>
    <xf numFmtId="0" fontId="0" fillId="14" borderId="1" xfId="0" applyFill="1" applyBorder="1" applyAlignment="1" applyProtection="1">
      <protection locked="0"/>
    </xf>
    <xf numFmtId="0" fontId="0" fillId="14" borderId="0" xfId="0" applyFill="1"/>
    <xf numFmtId="0" fontId="0" fillId="15" borderId="9" xfId="0" applyFill="1" applyBorder="1" applyAlignment="1" applyProtection="1">
      <protection locked="0"/>
    </xf>
    <xf numFmtId="0" fontId="0" fillId="15" borderId="1" xfId="0" applyFill="1" applyBorder="1" applyAlignment="1" applyProtection="1">
      <protection locked="0"/>
    </xf>
    <xf numFmtId="165" fontId="0" fillId="15" borderId="1" xfId="1" applyNumberFormat="1" applyFont="1" applyFill="1" applyBorder="1" applyAlignment="1" applyProtection="1">
      <protection locked="0"/>
    </xf>
    <xf numFmtId="164" fontId="0" fillId="15" borderId="1" xfId="1" applyNumberFormat="1" applyFont="1" applyFill="1" applyBorder="1" applyAlignment="1" applyProtection="1">
      <protection locked="0"/>
    </xf>
    <xf numFmtId="0" fontId="0" fillId="15" borderId="0" xfId="0" applyFill="1" applyAlignment="1" applyProtection="1">
      <protection locked="0"/>
    </xf>
    <xf numFmtId="0" fontId="0" fillId="15" borderId="0" xfId="0" applyFill="1"/>
    <xf numFmtId="0" fontId="0" fillId="16" borderId="9" xfId="0" applyFill="1" applyBorder="1" applyAlignment="1" applyProtection="1">
      <protection locked="0"/>
    </xf>
    <xf numFmtId="0" fontId="0" fillId="16" borderId="1" xfId="0" applyFill="1" applyBorder="1" applyAlignment="1" applyProtection="1">
      <protection locked="0"/>
    </xf>
    <xf numFmtId="165" fontId="0" fillId="16" borderId="1" xfId="1" applyNumberFormat="1" applyFont="1" applyFill="1" applyBorder="1" applyAlignment="1" applyProtection="1">
      <protection locked="0"/>
    </xf>
    <xf numFmtId="164" fontId="0" fillId="16" borderId="1" xfId="1" applyNumberFormat="1" applyFont="1" applyFill="1" applyBorder="1" applyAlignment="1" applyProtection="1">
      <protection locked="0"/>
    </xf>
    <xf numFmtId="0" fontId="0" fillId="16" borderId="0" xfId="0" applyFill="1" applyAlignment="1" applyProtection="1">
      <protection locked="0"/>
    </xf>
    <xf numFmtId="0" fontId="0" fillId="16" borderId="0" xfId="0" applyFill="1"/>
    <xf numFmtId="15" fontId="0" fillId="10" borderId="1" xfId="0" applyNumberFormat="1" applyFill="1" applyBorder="1" applyAlignment="1" applyProtection="1">
      <protection locked="0"/>
    </xf>
    <xf numFmtId="0" fontId="0" fillId="10" borderId="0" xfId="0" applyFill="1" applyAlignment="1" applyProtection="1">
      <protection locked="0"/>
    </xf>
    <xf numFmtId="0" fontId="0" fillId="10" borderId="1" xfId="0" applyFill="1" applyBorder="1" applyAlignment="1" applyProtection="1"/>
    <xf numFmtId="0" fontId="0" fillId="10" borderId="10" xfId="0" applyFill="1" applyBorder="1" applyAlignment="1" applyProtection="1">
      <protection locked="0"/>
    </xf>
    <xf numFmtId="0" fontId="0" fillId="11" borderId="9" xfId="0" applyFill="1" applyBorder="1" applyAlignment="1" applyProtection="1">
      <protection locked="0"/>
    </xf>
    <xf numFmtId="0" fontId="0" fillId="11" borderId="1" xfId="0" applyFill="1" applyBorder="1" applyAlignment="1" applyProtection="1">
      <protection locked="0"/>
    </xf>
    <xf numFmtId="0" fontId="0" fillId="11" borderId="0" xfId="0" applyFill="1"/>
    <xf numFmtId="0" fontId="0" fillId="6" borderId="0" xfId="0" applyFill="1" applyAlignment="1" applyProtection="1">
      <protection locked="0"/>
    </xf>
    <xf numFmtId="0" fontId="0" fillId="4" borderId="9" xfId="0" applyFill="1" applyBorder="1" applyAlignment="1" applyProtection="1">
      <protection locked="0"/>
    </xf>
    <xf numFmtId="0" fontId="0" fillId="4" borderId="1" xfId="0" applyFill="1" applyBorder="1" applyAlignment="1" applyProtection="1">
      <protection locked="0"/>
    </xf>
    <xf numFmtId="0" fontId="0" fillId="4" borderId="0" xfId="0" applyFill="1" applyAlignment="1" applyProtection="1">
      <protection locked="0"/>
    </xf>
    <xf numFmtId="0" fontId="0" fillId="4" borderId="0" xfId="0" applyFill="1"/>
    <xf numFmtId="164" fontId="0" fillId="2" borderId="11" xfId="1" applyNumberFormat="1" applyFont="1" applyFill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10" fillId="4" borderId="14" xfId="0" applyFont="1" applyFill="1" applyBorder="1" applyAlignment="1">
      <alignment vertical="center" wrapText="1"/>
    </xf>
    <xf numFmtId="164" fontId="0" fillId="2" borderId="11" xfId="1" applyNumberFormat="1" applyFont="1" applyFill="1" applyBorder="1" applyAlignment="1" applyProtection="1">
      <alignment vertical="center"/>
      <protection locked="0"/>
    </xf>
    <xf numFmtId="164" fontId="0" fillId="0" borderId="1" xfId="0" applyNumberFormat="1" applyBorder="1" applyAlignment="1" applyProtection="1">
      <protection locked="0"/>
    </xf>
    <xf numFmtId="164" fontId="0" fillId="0" borderId="10" xfId="0" applyNumberFormat="1" applyBorder="1" applyAlignment="1" applyProtection="1">
      <protection locked="0"/>
    </xf>
    <xf numFmtId="165" fontId="6" fillId="4" borderId="10" xfId="1" applyNumberFormat="1" applyFont="1" applyFill="1" applyBorder="1" applyAlignment="1">
      <alignment vertical="center" wrapText="1"/>
    </xf>
    <xf numFmtId="165" fontId="0" fillId="10" borderId="1" xfId="4" applyNumberFormat="1" applyFont="1" applyFill="1" applyBorder="1" applyAlignment="1" applyProtection="1">
      <protection locked="0"/>
    </xf>
    <xf numFmtId="165" fontId="11" fillId="4" borderId="10" xfId="4" applyNumberFormat="1" applyFont="1" applyFill="1" applyBorder="1" applyAlignment="1">
      <alignment vertical="center" wrapText="1"/>
    </xf>
    <xf numFmtId="165" fontId="0" fillId="0" borderId="0" xfId="4" applyNumberFormat="1" applyFont="1" applyAlignment="1"/>
    <xf numFmtId="0" fontId="0" fillId="0" borderId="20" xfId="0" applyBorder="1" applyAlignment="1" applyProtection="1">
      <protection locked="0"/>
    </xf>
    <xf numFmtId="0" fontId="0" fillId="0" borderId="10" xfId="0" applyNumberFormat="1" applyBorder="1" applyAlignment="1" applyProtection="1">
      <protection locked="0"/>
    </xf>
    <xf numFmtId="0" fontId="0" fillId="17" borderId="1" xfId="0" applyFill="1" applyBorder="1" applyAlignment="1" applyProtection="1">
      <protection locked="0"/>
    </xf>
    <xf numFmtId="165" fontId="0" fillId="17" borderId="1" xfId="1" applyNumberFormat="1" applyFont="1" applyFill="1" applyBorder="1" applyAlignment="1" applyProtection="1">
      <protection locked="0"/>
    </xf>
    <xf numFmtId="0" fontId="0" fillId="17" borderId="0" xfId="0" applyFill="1"/>
    <xf numFmtId="0" fontId="0" fillId="0" borderId="11" xfId="0" applyBorder="1" applyAlignment="1" applyProtection="1">
      <protection locked="0"/>
    </xf>
    <xf numFmtId="0" fontId="0" fillId="18" borderId="9" xfId="0" applyFill="1" applyBorder="1" applyAlignment="1" applyProtection="1">
      <protection locked="0"/>
    </xf>
    <xf numFmtId="0" fontId="0" fillId="18" borderId="1" xfId="0" applyFill="1" applyBorder="1" applyAlignment="1" applyProtection="1">
      <protection locked="0"/>
    </xf>
    <xf numFmtId="0" fontId="0" fillId="18" borderId="0" xfId="0" applyFill="1"/>
    <xf numFmtId="0" fontId="0" fillId="0" borderId="0" xfId="0" applyBorder="1"/>
    <xf numFmtId="164" fontId="0" fillId="0" borderId="0" xfId="0" applyNumberFormat="1"/>
    <xf numFmtId="164" fontId="0" fillId="0" borderId="22" xfId="0" applyNumberFormat="1" applyFont="1" applyBorder="1" applyAlignment="1"/>
    <xf numFmtId="0" fontId="0" fillId="0" borderId="23" xfId="0" applyFont="1" applyBorder="1"/>
    <xf numFmtId="0" fontId="0" fillId="0" borderId="24" xfId="0" applyFont="1" applyBorder="1" applyAlignment="1"/>
    <xf numFmtId="0" fontId="0" fillId="0" borderId="24" xfId="0" applyNumberFormat="1" applyFont="1" applyBorder="1" applyAlignment="1"/>
    <xf numFmtId="0" fontId="0" fillId="0" borderId="25" xfId="0" applyFont="1" applyBorder="1"/>
    <xf numFmtId="0" fontId="16" fillId="0" borderId="1" xfId="0" applyFont="1" applyBorder="1" applyAlignment="1" applyProtection="1">
      <protection locked="0"/>
    </xf>
    <xf numFmtId="0" fontId="16" fillId="0" borderId="10" xfId="0" applyFont="1" applyBorder="1" applyAlignment="1" applyProtection="1">
      <protection locked="0"/>
    </xf>
    <xf numFmtId="0" fontId="16" fillId="0" borderId="10" xfId="0" applyNumberFormat="1" applyFont="1" applyBorder="1" applyAlignment="1" applyProtection="1">
      <protection locked="0"/>
    </xf>
    <xf numFmtId="164" fontId="16" fillId="0" borderId="1" xfId="0" applyNumberFormat="1" applyFont="1" applyBorder="1" applyAlignment="1" applyProtection="1">
      <protection locked="0"/>
    </xf>
    <xf numFmtId="0" fontId="0" fillId="0" borderId="0" xfId="0" applyNumberFormat="1"/>
    <xf numFmtId="0" fontId="16" fillId="0" borderId="16" xfId="0" applyFont="1" applyBorder="1"/>
    <xf numFmtId="0" fontId="16" fillId="0" borderId="18" xfId="0" applyFont="1" applyBorder="1"/>
    <xf numFmtId="0" fontId="16" fillId="0" borderId="17" xfId="0" applyFont="1" applyBorder="1"/>
    <xf numFmtId="0" fontId="15" fillId="0" borderId="16" xfId="0" applyFont="1" applyBorder="1"/>
    <xf numFmtId="0" fontId="15" fillId="0" borderId="18" xfId="0" applyFont="1" applyBorder="1"/>
    <xf numFmtId="0" fontId="15" fillId="0" borderId="17" xfId="0" applyFont="1" applyBorder="1"/>
    <xf numFmtId="0" fontId="17" fillId="0" borderId="26" xfId="0" applyFont="1" applyBorder="1"/>
    <xf numFmtId="0" fontId="17" fillId="0" borderId="19" xfId="0" applyFont="1" applyBorder="1"/>
    <xf numFmtId="0" fontId="17" fillId="0" borderId="27" xfId="0" applyFont="1" applyBorder="1"/>
    <xf numFmtId="0" fontId="17" fillId="0" borderId="25" xfId="0" applyFont="1" applyBorder="1"/>
    <xf numFmtId="0" fontId="17" fillId="0" borderId="16" xfId="0" applyFont="1" applyBorder="1"/>
    <xf numFmtId="0" fontId="17" fillId="0" borderId="18" xfId="0" applyFont="1" applyBorder="1"/>
    <xf numFmtId="0" fontId="17" fillId="0" borderId="17" xfId="0" applyFont="1" applyBorder="1"/>
    <xf numFmtId="0" fontId="18" fillId="0" borderId="16" xfId="0" applyFont="1" applyBorder="1"/>
    <xf numFmtId="0" fontId="18" fillId="0" borderId="18" xfId="0" applyFont="1" applyBorder="1"/>
    <xf numFmtId="0" fontId="18" fillId="0" borderId="17" xfId="0" applyFont="1" applyBorder="1"/>
    <xf numFmtId="0" fontId="19" fillId="0" borderId="16" xfId="0" applyFont="1" applyBorder="1"/>
    <xf numFmtId="0" fontId="19" fillId="0" borderId="18" xfId="0" applyFont="1" applyBorder="1"/>
    <xf numFmtId="0" fontId="19" fillId="0" borderId="17" xfId="0" applyFont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5" fillId="0" borderId="16" xfId="0" applyFont="1" applyBorder="1"/>
    <xf numFmtId="0" fontId="5" fillId="0" borderId="18" xfId="0" applyFont="1" applyBorder="1"/>
    <xf numFmtId="0" fontId="5" fillId="0" borderId="17" xfId="0" applyFont="1" applyBorder="1"/>
    <xf numFmtId="0" fontId="0" fillId="19" borderId="9" xfId="0" applyFill="1" applyBorder="1" applyAlignment="1" applyProtection="1">
      <protection locked="0"/>
    </xf>
    <xf numFmtId="0" fontId="0" fillId="19" borderId="1" xfId="0" applyFill="1" applyBorder="1" applyAlignment="1" applyProtection="1">
      <protection locked="0"/>
    </xf>
    <xf numFmtId="166" fontId="0" fillId="19" borderId="1" xfId="0" applyNumberFormat="1" applyFill="1" applyBorder="1" applyAlignment="1" applyProtection="1">
      <protection locked="0"/>
    </xf>
    <xf numFmtId="165" fontId="0" fillId="19" borderId="1" xfId="1" applyNumberFormat="1" applyFont="1" applyFill="1" applyBorder="1" applyAlignment="1" applyProtection="1">
      <protection locked="0"/>
    </xf>
    <xf numFmtId="164" fontId="0" fillId="19" borderId="11" xfId="1" applyNumberFormat="1" applyFont="1" applyFill="1" applyBorder="1" applyAlignment="1" applyProtection="1">
      <protection locked="0"/>
    </xf>
    <xf numFmtId="164" fontId="0" fillId="19" borderId="1" xfId="1" applyNumberFormat="1" applyFont="1" applyFill="1" applyBorder="1" applyAlignment="1" applyProtection="1">
      <protection locked="0"/>
    </xf>
    <xf numFmtId="0" fontId="0" fillId="19" borderId="0" xfId="0" applyFill="1"/>
    <xf numFmtId="0" fontId="0" fillId="4" borderId="20" xfId="0" applyFill="1" applyBorder="1" applyAlignment="1" applyProtection="1">
      <protection locked="0"/>
    </xf>
    <xf numFmtId="0" fontId="0" fillId="4" borderId="10" xfId="0" applyFill="1" applyBorder="1" applyAlignment="1" applyProtection="1">
      <protection locked="0"/>
    </xf>
    <xf numFmtId="0" fontId="0" fillId="13" borderId="10" xfId="0" applyFill="1" applyBorder="1" applyAlignment="1" applyProtection="1">
      <protection locked="0"/>
    </xf>
    <xf numFmtId="165" fontId="0" fillId="10" borderId="10" xfId="4" applyNumberFormat="1" applyFont="1" applyFill="1" applyBorder="1" applyAlignment="1" applyProtection="1">
      <protection locked="0"/>
    </xf>
    <xf numFmtId="0" fontId="0" fillId="11" borderId="10" xfId="0" applyFill="1" applyBorder="1" applyAlignment="1" applyProtection="1">
      <protection locked="0"/>
    </xf>
    <xf numFmtId="0" fontId="0" fillId="4" borderId="13" xfId="0" applyFill="1" applyBorder="1" applyAlignment="1" applyProtection="1">
      <protection locked="0"/>
    </xf>
    <xf numFmtId="0" fontId="0" fillId="4" borderId="11" xfId="0" applyFill="1" applyBorder="1" applyAlignment="1" applyProtection="1">
      <protection locked="0"/>
    </xf>
    <xf numFmtId="0" fontId="0" fillId="13" borderId="11" xfId="0" applyFill="1" applyBorder="1" applyAlignment="1" applyProtection="1">
      <protection locked="0"/>
    </xf>
    <xf numFmtId="165" fontId="0" fillId="10" borderId="11" xfId="4" applyNumberFormat="1" applyFont="1" applyFill="1" applyBorder="1" applyAlignment="1" applyProtection="1">
      <protection locked="0"/>
    </xf>
    <xf numFmtId="0" fontId="0" fillId="11" borderId="11" xfId="0" applyFill="1" applyBorder="1" applyAlignment="1" applyProtection="1">
      <protection locked="0"/>
    </xf>
    <xf numFmtId="0" fontId="0" fillId="15" borderId="13" xfId="0" applyFill="1" applyBorder="1" applyAlignment="1" applyProtection="1">
      <protection locked="0"/>
    </xf>
    <xf numFmtId="0" fontId="0" fillId="15" borderId="11" xfId="0" applyFill="1" applyBorder="1" applyAlignment="1" applyProtection="1">
      <protection locked="0"/>
    </xf>
    <xf numFmtId="0" fontId="0" fillId="6" borderId="20" xfId="0" applyFill="1" applyBorder="1" applyAlignment="1" applyProtection="1">
      <protection locked="0"/>
    </xf>
    <xf numFmtId="0" fontId="0" fillId="6" borderId="10" xfId="0" applyFill="1" applyBorder="1" applyAlignment="1" applyProtection="1">
      <protection locked="0"/>
    </xf>
    <xf numFmtId="0" fontId="0" fillId="0" borderId="33" xfId="0" applyBorder="1" applyAlignment="1" applyProtection="1">
      <protection locked="0"/>
    </xf>
    <xf numFmtId="0" fontId="0" fillId="0" borderId="14" xfId="0" applyBorder="1" applyAlignment="1" applyProtection="1">
      <protection locked="0"/>
    </xf>
    <xf numFmtId="0" fontId="0" fillId="20" borderId="9" xfId="0" applyFill="1" applyBorder="1" applyAlignment="1" applyProtection="1">
      <protection locked="0"/>
    </xf>
    <xf numFmtId="0" fontId="0" fillId="20" borderId="1" xfId="0" applyFill="1" applyBorder="1" applyAlignment="1" applyProtection="1">
      <protection locked="0"/>
    </xf>
    <xf numFmtId="164" fontId="0" fillId="20" borderId="11" xfId="1" applyNumberFormat="1" applyFont="1" applyFill="1" applyBorder="1" applyAlignment="1" applyProtection="1">
      <protection locked="0"/>
    </xf>
    <xf numFmtId="164" fontId="0" fillId="20" borderId="1" xfId="1" applyNumberFormat="1" applyFont="1" applyFill="1" applyBorder="1" applyAlignment="1" applyProtection="1">
      <protection locked="0"/>
    </xf>
    <xf numFmtId="0" fontId="0" fillId="20" borderId="0" xfId="0" applyFill="1"/>
    <xf numFmtId="0" fontId="16" fillId="0" borderId="0" xfId="0" applyFont="1" applyAlignment="1"/>
    <xf numFmtId="0" fontId="16" fillId="0" borderId="0" xfId="0" applyFont="1"/>
    <xf numFmtId="0" fontId="19" fillId="0" borderId="0" xfId="0" applyFont="1" applyBorder="1"/>
    <xf numFmtId="0" fontId="0" fillId="8" borderId="9" xfId="0" applyFill="1" applyBorder="1" applyAlignment="1" applyProtection="1">
      <protection locked="0"/>
    </xf>
    <xf numFmtId="49" fontId="0" fillId="8" borderId="1" xfId="0" applyNumberFormat="1" applyFill="1" applyBorder="1" applyAlignment="1" applyProtection="1">
      <protection locked="0"/>
    </xf>
    <xf numFmtId="0" fontId="0" fillId="8" borderId="1" xfId="0" applyFill="1" applyBorder="1" applyAlignment="1" applyProtection="1">
      <protection locked="0"/>
    </xf>
    <xf numFmtId="0" fontId="0" fillId="8" borderId="0" xfId="0" applyFill="1"/>
    <xf numFmtId="165" fontId="0" fillId="8" borderId="1" xfId="1" applyNumberFormat="1" applyFont="1" applyFill="1" applyBorder="1" applyAlignment="1" applyProtection="1">
      <protection locked="0"/>
    </xf>
    <xf numFmtId="0" fontId="5" fillId="12" borderId="28" xfId="0" applyFont="1" applyFill="1" applyBorder="1" applyAlignment="1" applyProtection="1">
      <protection locked="0"/>
    </xf>
    <xf numFmtId="0" fontId="5" fillId="12" borderId="32" xfId="0" applyFont="1" applyFill="1" applyBorder="1" applyAlignment="1" applyProtection="1">
      <protection locked="0"/>
    </xf>
    <xf numFmtId="165" fontId="5" fillId="12" borderId="32" xfId="4" applyNumberFormat="1" applyFont="1" applyFill="1" applyBorder="1" applyAlignment="1" applyProtection="1">
      <protection locked="0"/>
    </xf>
    <xf numFmtId="0" fontId="5" fillId="12" borderId="29" xfId="0" applyFont="1" applyFill="1" applyBorder="1" applyAlignment="1" applyProtection="1">
      <protection locked="0"/>
    </xf>
    <xf numFmtId="0" fontId="5" fillId="12" borderId="30" xfId="0" applyFont="1" applyFill="1" applyBorder="1" applyAlignment="1" applyProtection="1">
      <protection locked="0"/>
    </xf>
    <xf numFmtId="0" fontId="5" fillId="12" borderId="1" xfId="0" applyFont="1" applyFill="1" applyBorder="1" applyAlignment="1" applyProtection="1">
      <protection locked="0"/>
    </xf>
    <xf numFmtId="165" fontId="5" fillId="12" borderId="1" xfId="4" applyNumberFormat="1" applyFont="1" applyFill="1" applyBorder="1" applyAlignment="1" applyProtection="1">
      <protection locked="0"/>
    </xf>
    <xf numFmtId="0" fontId="5" fillId="12" borderId="2" xfId="0" applyFont="1" applyFill="1" applyBorder="1" applyAlignment="1" applyProtection="1">
      <protection locked="0"/>
    </xf>
    <xf numFmtId="0" fontId="5" fillId="12" borderId="31" xfId="0" applyFont="1" applyFill="1" applyBorder="1" applyAlignment="1" applyProtection="1">
      <protection locked="0"/>
    </xf>
    <xf numFmtId="0" fontId="5" fillId="12" borderId="3" xfId="0" applyFont="1" applyFill="1" applyBorder="1" applyAlignment="1" applyProtection="1">
      <protection locked="0"/>
    </xf>
    <xf numFmtId="165" fontId="5" fillId="12" borderId="3" xfId="4" applyNumberFormat="1" applyFont="1" applyFill="1" applyBorder="1" applyAlignment="1" applyProtection="1">
      <protection locked="0"/>
    </xf>
    <xf numFmtId="0" fontId="0" fillId="0" borderId="34" xfId="0" applyBorder="1"/>
    <xf numFmtId="0" fontId="0" fillId="0" borderId="35" xfId="0" applyBorder="1"/>
    <xf numFmtId="0" fontId="0" fillId="11" borderId="0" xfId="0" applyFill="1" applyAlignment="1" applyProtection="1">
      <protection locked="0"/>
    </xf>
    <xf numFmtId="0" fontId="0" fillId="14" borderId="0" xfId="0" applyFill="1" applyAlignment="1" applyProtection="1">
      <protection locked="0"/>
    </xf>
    <xf numFmtId="0" fontId="20" fillId="4" borderId="14" xfId="0" applyFont="1" applyFill="1" applyBorder="1" applyAlignment="1">
      <alignment vertical="center" wrapText="1"/>
    </xf>
    <xf numFmtId="0" fontId="0" fillId="0" borderId="0" xfId="0" applyFill="1" applyBorder="1"/>
    <xf numFmtId="0" fontId="16" fillId="10" borderId="1" xfId="0" applyFont="1" applyFill="1" applyBorder="1" applyAlignment="1" applyProtection="1">
      <protection locked="0"/>
    </xf>
    <xf numFmtId="0" fontId="16" fillId="0" borderId="34" xfId="0" applyFont="1" applyBorder="1"/>
    <xf numFmtId="0" fontId="0" fillId="0" borderId="0" xfId="0" applyAlignment="1">
      <alignment horizontal="right"/>
    </xf>
    <xf numFmtId="0" fontId="21" fillId="12" borderId="1" xfId="0" applyFont="1" applyFill="1" applyBorder="1" applyAlignment="1" applyProtection="1">
      <protection locked="0"/>
    </xf>
    <xf numFmtId="0" fontId="22" fillId="12" borderId="1" xfId="0" applyFont="1" applyFill="1" applyBorder="1" applyAlignment="1" applyProtection="1">
      <protection locked="0"/>
    </xf>
    <xf numFmtId="0" fontId="0" fillId="10" borderId="1" xfId="0" applyNumberFormat="1" applyFill="1" applyBorder="1" applyAlignment="1" applyProtection="1">
      <protection locked="0"/>
    </xf>
    <xf numFmtId="0" fontId="0" fillId="9" borderId="9" xfId="0" applyFill="1" applyBorder="1" applyAlignment="1" applyProtection="1">
      <protection locked="0"/>
    </xf>
    <xf numFmtId="0" fontId="0" fillId="9" borderId="1" xfId="0" applyFill="1" applyBorder="1" applyAlignment="1" applyProtection="1">
      <protection locked="0"/>
    </xf>
    <xf numFmtId="0" fontId="0" fillId="9" borderId="1" xfId="0" applyNumberFormat="1" applyFill="1" applyBorder="1" applyAlignment="1" applyProtection="1">
      <protection locked="0"/>
    </xf>
    <xf numFmtId="164" fontId="16" fillId="0" borderId="0" xfId="0" applyNumberFormat="1" applyFont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1" xfId="0" applyBorder="1" applyAlignment="1"/>
    <xf numFmtId="0" fontId="0" fillId="17" borderId="1" xfId="0" applyFont="1" applyFill="1" applyBorder="1" applyAlignment="1" applyProtection="1">
      <protection locked="0"/>
    </xf>
    <xf numFmtId="164" fontId="0" fillId="8" borderId="1" xfId="1" applyNumberFormat="1" applyFont="1" applyFill="1" applyBorder="1" applyAlignment="1" applyProtection="1">
      <protection locked="0"/>
    </xf>
    <xf numFmtId="165" fontId="23" fillId="0" borderId="10" xfId="0" applyNumberFormat="1" applyFont="1" applyBorder="1" applyAlignment="1" applyProtection="1">
      <protection locked="0"/>
    </xf>
    <xf numFmtId="164" fontId="24" fillId="0" borderId="10" xfId="0" applyNumberFormat="1" applyFont="1" applyBorder="1" applyAlignment="1" applyProtection="1">
      <protection locked="0"/>
    </xf>
    <xf numFmtId="164" fontId="23" fillId="0" borderId="10" xfId="0" applyNumberFormat="1" applyFont="1" applyBorder="1" applyAlignment="1" applyProtection="1">
      <protection locked="0"/>
    </xf>
    <xf numFmtId="165" fontId="23" fillId="0" borderId="14" xfId="0" applyNumberFormat="1" applyFont="1" applyBorder="1" applyAlignment="1" applyProtection="1">
      <protection locked="0"/>
    </xf>
    <xf numFmtId="0" fontId="24" fillId="0" borderId="14" xfId="0" applyFont="1" applyBorder="1" applyAlignment="1" applyProtection="1">
      <protection locked="0"/>
    </xf>
    <xf numFmtId="0" fontId="24" fillId="0" borderId="14" xfId="0" applyNumberFormat="1" applyFont="1" applyBorder="1" applyAlignment="1" applyProtection="1">
      <protection locked="0"/>
    </xf>
    <xf numFmtId="0" fontId="0" fillId="19" borderId="1" xfId="0" applyNumberFormat="1" applyFill="1" applyBorder="1" applyAlignment="1" applyProtection="1">
      <protection locked="0"/>
    </xf>
    <xf numFmtId="0" fontId="16" fillId="19" borderId="1" xfId="0" applyFont="1" applyFill="1" applyBorder="1" applyAlignment="1" applyProtection="1">
      <protection locked="0"/>
    </xf>
    <xf numFmtId="0" fontId="25" fillId="0" borderId="0" xfId="0" applyFont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</cellXfs>
  <cellStyles count="5">
    <cellStyle name="Comma" xfId="1" builtinId="3"/>
    <cellStyle name="Comma 2" xfId="3"/>
    <cellStyle name="Currency" xfId="4" builtinId="4"/>
    <cellStyle name="Normal" xfId="0" builtinId="0"/>
    <cellStyle name="Normal 2" xfId="2"/>
  </cellStyles>
  <dxfs count="187">
    <dxf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[$AFN]\ * #,##0_);_([$AFN]\ * \(#,##0\);_([$AFN]\ 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ill>
        <patternFill patternType="solid">
          <fgColor indexed="64"/>
          <bgColor theme="5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_(* #,##0_);_(* \(#,##0\);_(* &quot;-&quot;??_);_(@_)"/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_(* #,##0_);_(* \(#,##0\);_(* &quot;-&quot;??_);_(@_)"/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_(* #,##0_);_(* \(#,##0\);_(* &quot;-&quot;??_);_(@_)"/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_(* #,##0_);_(* \(#,##0\);_(* &quot;-&quot;??_);_(@_)"/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_(* #,##0_);_(* \(#,##0\);_(* &quot;-&quot;??_);_(@_)"/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_(* #,##0_);_(* \(#,##0\);_(* &quot;-&quot;??_);_(@_)"/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_(* #,##0_);_(* \(#,##0\);_(* &quot;-&quot;??_);_(@_)"/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alignment horizontal="general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_(* #,##0_);_(* \(#,##0\);_(* &quot;-&quot;??_);_(@_)"/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4" formatCode="_(* #,##0_);_(* \(#,##0\);_(* &quot;-&quot;??_);_(@_)"/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_([$AFN]\ * #,##0_);_([$AFN]\ * \(#,##0\);_([$AFN]\ 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numFmt numFmtId="165" formatCode="_([$AFN]\ * #,##0_);_([$AFN]\ * \(#,##0\);_([$AFN]\ * &quot;-&quot;??_);_(@_)"/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 outline="0">
        <left/>
        <right/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</border>
    </dxf>
    <dxf>
      <alignment horizontal="general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Bahij Zar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textRotation="0" wrapText="0" indent="0" justifyLastLine="0" shrinkToFit="0" readingOrder="0"/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(* #,##0_);_(* \(#,##0\);_(* &quot;-&quot;??_);_(@_)"/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_([$AFN]\ * #,##0_);_([$AFN]\ * \(#,##0\);_([$AFN]\ * &quot;-&quot;??_);_(@_)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rgb="FF000000"/>
        </left>
      </border>
    </dxf>
    <dxf>
      <alignment horizontal="general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Bahij Zar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0" formatCode="General"/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65" formatCode="_([$AFN]\ * #,##0_);_([$AFN]\ * \(#,##0\);_([$AFN]\ * &quot;-&quot;??_);_(@_)"/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rgb="FF000000"/>
        </left>
      </border>
    </dxf>
    <dxf>
      <alignment horizontal="general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Bahij Zar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textRotation="0" wrapText="0" indent="0" justifyLastLine="0" shrinkToFit="0" readingOrder="0"/>
      <protection locked="0" hidden="0"/>
    </dxf>
    <dxf>
      <alignment horizontal="general" textRotation="0" wrapText="0" indent="0" justifyLastLine="0" shrinkToFit="0" readingOrder="0"/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_([$AFN]\ * #,##0_);_([$AFN]\ * \(#,##0\);_([$AFN]\ * &quot;-&quot;??_);_(@_)"/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5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rgb="FF000000"/>
        </left>
      </border>
    </dxf>
    <dxf>
      <alignment horizontal="general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Bahij Zar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textRotation="0" wrapText="0" indent="0" justifyLastLine="0" shrinkToFit="0" readingOrder="0"/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rgb="FF000000"/>
        </left>
      </border>
    </dxf>
    <dxf>
      <alignment horizontal="general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Bahij Zar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general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rgb="FF000000"/>
        </left>
      </border>
    </dxf>
    <dxf>
      <alignment horizontal="general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Bahij Zar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rgb="FF00B050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C00000"/>
        <name val="1_Abdali Pashto{IslamicSoft}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19</xdr:row>
      <xdr:rowOff>76200</xdr:rowOff>
    </xdr:from>
    <xdr:to>
      <xdr:col>5</xdr:col>
      <xdr:colOff>792480</xdr:colOff>
      <xdr:row>23</xdr:row>
      <xdr:rowOff>45720</xdr:rowOff>
    </xdr:to>
    <xdr:sp macro="" textlink="">
      <xdr:nvSpPr>
        <xdr:cNvPr id="2" name="TextBox 1"/>
        <xdr:cNvSpPr txBox="1"/>
      </xdr:nvSpPr>
      <xdr:spPr>
        <a:xfrm>
          <a:off x="12979397460" y="5052060"/>
          <a:ext cx="1531620" cy="883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100"/>
            <a:t>15_T-B1</a:t>
          </a:r>
          <a:r>
            <a:rPr lang="en-US" sz="1100" baseline="0"/>
            <a:t> </a:t>
          </a:r>
          <a:r>
            <a:rPr lang="prs-AF" sz="1100" baseline="0"/>
            <a:t>څخه تر </a:t>
          </a:r>
          <a:r>
            <a:rPr lang="en-US" sz="1100" baseline="0"/>
            <a:t>39_T_D </a:t>
          </a:r>
          <a:r>
            <a:rPr lang="prs-AF" sz="1100" baseline="0"/>
            <a:t>پورې د ۱۴۰۳/۰۱/۰۱ څخه شروع شوه.</a:t>
          </a:r>
        </a:p>
        <a:p>
          <a:pPr algn="r" rtl="1"/>
          <a:r>
            <a:rPr lang="prs-AF" sz="1100" baseline="0"/>
            <a:t>دا ټولې عرفی دي</a:t>
          </a:r>
        </a:p>
        <a:p>
          <a:pPr algn="r" rtl="1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40</xdr:row>
      <xdr:rowOff>76199</xdr:rowOff>
    </xdr:from>
    <xdr:to>
      <xdr:col>8</xdr:col>
      <xdr:colOff>487680</xdr:colOff>
      <xdr:row>51</xdr:row>
      <xdr:rowOff>190500</xdr:rowOff>
    </xdr:to>
    <xdr:sp macro="" textlink="">
      <xdr:nvSpPr>
        <xdr:cNvPr id="2" name="TextBox 1"/>
        <xdr:cNvSpPr txBox="1"/>
      </xdr:nvSpPr>
      <xdr:spPr>
        <a:xfrm>
          <a:off x="13648051508" y="9732168"/>
          <a:ext cx="3713797" cy="2757488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1"/>
          <a:r>
            <a:rPr lang="prs-AF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نوټ</a:t>
          </a:r>
          <a:r>
            <a:rPr lang="prs-AF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د۱۴۰۳ کال د  </a:t>
          </a:r>
          <a:r>
            <a:rPr lang="ps-AF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اسد </a:t>
          </a:r>
          <a:r>
            <a:rPr lang="prs-AF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میاشتی </a:t>
          </a:r>
          <a:r>
            <a:rPr lang="en-US" sz="1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   532000  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prs-AF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افغانی د پارکینګ او مارکیټ کرایه نعدی </a:t>
          </a:r>
          <a:r>
            <a:rPr lang="ps-AF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ده چی د دغی جملی څخه ډاکټر لطف الله یوه برخه (</a:t>
          </a:r>
          <a:r>
            <a:rPr lang="en-US" sz="1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44333</a:t>
          </a:r>
          <a:r>
            <a:rPr lang="ps-AF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افغانی واخیستی او په ځمکه کې کومه برخه نه لری او د اسد میاشتی نوره ټولې </a:t>
          </a:r>
          <a:r>
            <a:rPr lang="en-US" sz="1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(487666)</a:t>
          </a:r>
          <a:r>
            <a:rPr lang="ps-AF" sz="1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s-AF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افغانی نعدی صرافی کې ځمکې لپاره جمع شوې. د مستوفیت لپاره په اسد میاشت کې کومې روپی جمع نه شوی چې په صرافی کې د مستوفیت لپاره ټولې (</a:t>
          </a:r>
          <a:r>
            <a:rPr lang="en-US" sz="1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352500</a:t>
          </a:r>
          <a:r>
            <a:rPr lang="ps-AF" sz="1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US" sz="1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s-AF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افغانی جمع شوی دي.</a:t>
          </a:r>
          <a:endParaRPr lang="en-US" sz="2000">
            <a:effectLst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0" name="Table10" displayName="Table10" ref="A7:AG35" totalsRowShown="0" headerRowDxfId="186" tableBorderDxfId="185">
  <autoFilter ref="A7:AG35">
    <filterColumn colId="6">
      <filters blank="1">
        <filter val="0"/>
        <filter val="3000"/>
        <filter val="Unpaid"/>
      </filters>
    </filterColumn>
  </autoFilter>
  <tableColumns count="33">
    <tableColumn id="2" name="Sr/No"/>
    <tableColumn id="3" name="Shop No"/>
    <tableColumn id="4" name="Owner"/>
    <tableColumn id="5" name="Shop Title "/>
    <tableColumn id="6" name="Rent" dataDxfId="184"/>
    <tableColumn id="7" name="Jan" dataDxfId="183"/>
    <tableColumn id="8" name="  " dataDxfId="182"/>
    <tableColumn id="9" name="Feb" dataDxfId="181"/>
    <tableColumn id="10" name=" " dataDxfId="180"/>
    <tableColumn id="11" name="Mar" dataDxfId="179"/>
    <tableColumn id="12" name=" . " dataDxfId="178"/>
    <tableColumn id="13" name="Apr" dataDxfId="177"/>
    <tableColumn id="14" name="  . " dataDxfId="176"/>
    <tableColumn id="15" name="May" dataDxfId="175"/>
    <tableColumn id="16" name="    ." dataDxfId="174"/>
    <tableColumn id="17" name="Jun" dataDxfId="173"/>
    <tableColumn id="18" name=". " dataDxfId="172"/>
    <tableColumn id="19" name="July" dataDxfId="171"/>
    <tableColumn id="20" name=". . " dataDxfId="170"/>
    <tableColumn id="21" name="Aug" dataDxfId="169"/>
    <tableColumn id="22" name=". . ." dataDxfId="168"/>
    <tableColumn id="23" name="Sep" dataDxfId="167"/>
    <tableColumn id="24" name="   . " dataDxfId="166"/>
    <tableColumn id="25" name="Oct" dataDxfId="165"/>
    <tableColumn id="26" name=" .  ." dataDxfId="164"/>
    <tableColumn id="27" name="Nov" dataDxfId="163"/>
    <tableColumn id="28" name="  .. " dataDxfId="162"/>
    <tableColumn id="29" name="Dec" dataDxfId="161"/>
    <tableColumn id="30" name="   " dataDxfId="160"/>
    <tableColumn id="31" name="Total Payment "/>
    <tableColumn id="32" name="Balance"/>
    <tableColumn id="33" name="Total Paid"/>
    <tableColumn id="34" name="Total Unpa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Table178" displayName="Table178" ref="A2:O80" totalsRowShown="0" headerRowDxfId="159" dataDxfId="158" tableBorderDxfId="157">
  <autoFilter ref="A2:O80">
    <filterColumn colId="0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5">
    <tableColumn id="1" name="شماره" dataDxfId="156"/>
    <tableColumn id="14" name="دوکان نمبر" dataDxfId="155"/>
    <tableColumn id="2" name="قرارداد شروع" dataDxfId="154"/>
    <tableColumn id="3" name="دوکاندار نوم" dataDxfId="153"/>
    <tableColumn id="4" name="پلار نوم" dataDxfId="152"/>
    <tableColumn id="5" name="نیکه نوم" dataDxfId="151"/>
    <tableColumn id="6" name="کلی" dataDxfId="150"/>
    <tableColumn id="7" name="تزګری شماره" dataDxfId="149"/>
    <tableColumn id="8" name="میاشت" dataDxfId="148"/>
    <tableColumn id="9" name="دوکان عنوان" dataDxfId="147"/>
    <tableColumn id="10" name="پیشکي" dataDxfId="146">
      <calculatedColumnFormula>H3-(I3+J3)</calculatedColumnFormula>
    </tableColumn>
    <tableColumn id="11" name="میاشتنی کرایه" dataDxfId="145"/>
    <tableColumn id="12" name="د ۵۰ ٪ کرایی درکه" dataDxfId="144">
      <calculatedColumnFormula>L3-(I3+J3)</calculatedColumnFormula>
    </tableColumn>
    <tableColumn id="15" name="دوکاندار تلیفون نمبر" dataDxfId="143"/>
    <tableColumn id="17" name="سنبله" dataDxfId="142">
      <calculatedColumnFormula>Table178[[#This Row],[پیشکي]]-Table178[[#This Row],[د ۵۰ ٪ کرایی درکه]]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17" displayName="Table17" ref="A1:J73" totalsRowShown="0" headerRowDxfId="141" dataDxfId="140" tableBorderDxfId="139">
  <autoFilter ref="A1:J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شماره" dataDxfId="138"/>
    <tableColumn id="2" name="قرارداد شروع" dataDxfId="137"/>
    <tableColumn id="3" name="دوکاندار نوم" dataDxfId="136"/>
    <tableColumn id="4" name="پلار نوم" dataDxfId="135"/>
    <tableColumn id="5" name="میاشت" dataDxfId="134"/>
    <tableColumn id="6" name="دوکان عنوان" dataDxfId="133"/>
    <tableColumn id="7" name="پیشکي" dataDxfId="132"/>
    <tableColumn id="8" name="میاشتنی کرایه" dataDxfId="131"/>
    <tableColumn id="9" name="د ۵۰ ٪ کرایی درکه" dataDxfId="130"/>
    <tableColumn id="13" name="دوکاندار تلیفون نمبر" dataDxfId="1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45" displayName="Table145" ref="A2:Q75" totalsRowCount="1" headerRowDxfId="128" dataDxfId="127" tableBorderDxfId="126">
  <autoFilter ref="A2:Q74">
    <filterColumn colId="0" hiddenButton="1"/>
    <filterColumn colId="1" hiddenButton="1"/>
    <filterColumn colId="2" hiddenButton="1"/>
    <filterColumn colId="3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7">
    <tableColumn id="1" name="شماره" dataDxfId="125" totalsRowDxfId="15"/>
    <tableColumn id="2" name="دوکان نمبر" dataDxfId="124" totalsRowDxfId="14"/>
    <tableColumn id="3" name="دوکاندار نوم" dataDxfId="123" totalsRowDxfId="13"/>
    <tableColumn id="4" name="پلار نوم" dataDxfId="122" totalsRowDxfId="12"/>
    <tableColumn id="15" name="نیکه نوم" dataDxfId="121" totalsRowDxfId="11"/>
    <tableColumn id="14" name="کلی" dataDxfId="120" totalsRowDxfId="10"/>
    <tableColumn id="16" name="تزګره شماره" dataDxfId="119" totalsRowDxfId="9"/>
    <tableColumn id="5" name="میاشت" dataDxfId="118" totalsRowDxfId="8"/>
    <tableColumn id="6" name="دوکان عنوان" dataDxfId="117" totalsRowDxfId="7"/>
    <tableColumn id="7" name="پیشکي" dataDxfId="116" totalsRowDxfId="6" dataCellStyle="Currency"/>
    <tableColumn id="8" name="میاشتنی کرایه" totalsRowFunction="sum" dataDxfId="115" totalsRowDxfId="5"/>
    <tableColumn id="9" name="د ۵۰ ٪ کرایی درکه" totalsRowFunction="sum" dataDxfId="114" totalsRowDxfId="4">
      <calculatedColumnFormula>Table145[[#This Row],[میاشتنی کرایه]]/2</calculatedColumnFormula>
    </tableColumn>
    <tableColumn id="10" name="میاشتنی کرایه باقی" dataDxfId="113" totalsRowDxfId="3"/>
    <tableColumn id="11" name="پیشکي پیسی" dataDxfId="112" totalsRowDxfId="2"/>
    <tableColumn id="12" name="ټوټل پاتی پیسی" dataDxfId="111" totalsRowDxfId="1"/>
    <tableColumn id="13" name="دوکاندار تلیفون نمبر" dataDxfId="110" totalsRowDxfId="0"/>
    <tableColumn id="17" name="قرارداد شروع" dataDxfId="1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able14" displayName="Table14" ref="A2:N75" totalsRowShown="0" headerRowDxfId="108" dataDxfId="107" tableBorderDxfId="106">
  <autoFilter ref="A2:N75">
    <filterColumn colId="0" hiddenButton="1"/>
    <filterColumn colId="1" hiddenButton="1"/>
    <filterColumn colId="2" hiddenButton="1"/>
    <filterColumn colId="3" hiddenButton="1"/>
    <filterColumn colId="4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4">
    <tableColumn id="1" name="شماره" dataDxfId="105" totalsRowDxfId="104"/>
    <tableColumn id="2" name="دوکان نمبر" dataDxfId="103" totalsRowDxfId="102"/>
    <tableColumn id="3" name="قرارداد شروع" dataDxfId="101" totalsRowDxfId="100"/>
    <tableColumn id="4" name="دوکاندار نوم" dataDxfId="99" totalsRowDxfId="98"/>
    <tableColumn id="5" name="پلار نوم" dataDxfId="97" totalsRowDxfId="96"/>
    <tableColumn id="14" name="نیکه نوم" dataDxfId="95" totalsRowDxfId="94"/>
    <tableColumn id="17" name="کلی" dataDxfId="93" totalsRowDxfId="92"/>
    <tableColumn id="16" name="تزګری شماره" dataDxfId="91" totalsRowDxfId="90"/>
    <tableColumn id="6" name="میاشت" dataDxfId="89" totalsRowDxfId="88"/>
    <tableColumn id="7" name="دوکان عنوان" dataDxfId="87" totalsRowDxfId="86"/>
    <tableColumn id="8" name="پیشکي" dataDxfId="85" totalsRowDxfId="84" dataCellStyle="Comma"/>
    <tableColumn id="9" name="میاشتنی کرایه" dataDxfId="83" totalsRowDxfId="82"/>
    <tableColumn id="10" name="د ۵۰ ٪ کرایی درکه" dataDxfId="81" totalsRowDxfId="80">
      <calculatedColumnFormula>Table14[[#This Row],[میاشتنی کرایه]]/2</calculatedColumnFormula>
    </tableColumn>
    <tableColumn id="15" name="دوکاندار تلیفون نمبر" dataDxfId="79" totalsRowDxfId="7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Table16" displayName="Table16" ref="A2:O314" totalsRowShown="0" headerRowDxfId="77" dataDxfId="76" tableBorderDxfId="75">
  <autoFilter ref="A2:O314">
    <filterColumn colId="0" hiddenButton="1"/>
    <filterColumn colId="1" hiddenButton="1"/>
    <filterColumn colId="2" hiddenButton="1"/>
    <filterColumn colId="3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شماره" dataDxfId="74"/>
    <tableColumn id="2" name="قرارداد شروع" dataDxfId="73"/>
    <tableColumn id="3" name="دوکاندار نوم" dataDxfId="72"/>
    <tableColumn id="4" name="پلار نوم" dataDxfId="71"/>
    <tableColumn id="16" name="نیکه نوم" dataDxfId="70"/>
    <tableColumn id="15" name="کلی " dataDxfId="69"/>
    <tableColumn id="14" name="تزګره شماره" dataDxfId="68"/>
    <tableColumn id="5" name="میاشت" dataDxfId="67"/>
    <tableColumn id="6" name="دوکان عنوان" dataDxfId="66"/>
    <tableColumn id="7" name="پیشکي" dataDxfId="65" dataCellStyle="Comma"/>
    <tableColumn id="8" name="میاشتنی کرایه" dataDxfId="64"/>
    <tableColumn id="9" name="د ۵۰ ٪ کرایی درکه" dataDxfId="63">
      <calculatedColumnFormula>Table1[[#This Row],[میاشتنی کرایه]]/2</calculatedColumnFormula>
    </tableColumn>
    <tableColumn id="11" name="پیشکي پیسی" dataDxfId="62"/>
    <tableColumn id="12" name="دوکاندار تلیفون نمبر" dataDxfId="61">
      <calculatedColumnFormula>M3-(K3+L3)</calculatedColumnFormula>
    </tableColumn>
    <tableColumn id="13" name="سنبله" dataDxfId="60">
      <calculatedColumnFormula>Table16[[#This Row],[پیشکي]]-Table16[[#This Row],[د ۵۰ ٪ کرایی درکه]]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" name="Table1" displayName="Table1" ref="A2:U75" totalsRowCount="1" headerRowDxfId="59" dataDxfId="58" tableBorderDxfId="57">
  <autoFilter ref="A2:U74">
    <filterColumn colId="0" hiddenButton="1"/>
    <filterColumn colId="1" hiddenButton="1"/>
    <filterColumn colId="2" hiddenButton="1"/>
    <filterColumn colId="3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21">
    <tableColumn id="1" name="شماره" dataDxfId="56" totalsRowDxfId="55"/>
    <tableColumn id="2" name="دوکان نمبر" dataDxfId="54" totalsRowDxfId="53"/>
    <tableColumn id="3" name="قرارداد شروع" dataDxfId="52" totalsRowDxfId="51"/>
    <tableColumn id="4" name="دوکاندار نوم" dataDxfId="50" totalsRowDxfId="49"/>
    <tableColumn id="15" name="پلار نوم" dataDxfId="48" totalsRowDxfId="47"/>
    <tableColumn id="26" name="نیکه نوم" dataDxfId="46" totalsRowDxfId="45"/>
    <tableColumn id="25" name="کلی" dataDxfId="44" totalsRowDxfId="43"/>
    <tableColumn id="16" name="تزګري شماره" totalsRowDxfId="42"/>
    <tableColumn id="5" name="میاشت" dataDxfId="41" totalsRowDxfId="40"/>
    <tableColumn id="6" name="دوکان عنوان" dataDxfId="39" totalsRowDxfId="38"/>
    <tableColumn id="7" name="پیشکي پیسی" dataDxfId="37" totalsRowDxfId="36" dataCellStyle="Comma"/>
    <tableColumn id="8" name="میاشتنی کرایه" totalsRowFunction="sum" dataDxfId="35" totalsRowDxfId="34" dataCellStyle="Comma"/>
    <tableColumn id="9" name="د ۵۰ ٪ کرایی درکه" totalsRowFunction="sum" dataDxfId="33" totalsRowDxfId="32" dataCellStyle="Comma">
      <calculatedColumnFormula>Table1[[#This Row],[میاشتنی کرایه]]/2</calculatedColumnFormula>
    </tableColumn>
    <tableColumn id="13" name="دوکاندار تلیفون نمبر" dataDxfId="31" totalsRowDxfId="30"/>
    <tableColumn id="18" name="سنبله" dataDxfId="29" totalsRowDxfId="28" dataCellStyle="Comma">
      <calculatedColumnFormula>Table1[[#This Row],[پیشکي پیسی]]-Table1[[#This Row],[د ۵۰ ٪ کرایی درکه]]</calculatedColumnFormula>
    </tableColumn>
    <tableColumn id="19" name="میزان" dataDxfId="27" totalsRowDxfId="26" dataCellStyle="Comma"/>
    <tableColumn id="20" name="عقرب" dataDxfId="25" totalsRowDxfId="24" dataCellStyle="Comma"/>
    <tableColumn id="21" name="قوس " dataDxfId="23" totalsRowDxfId="22" dataCellStyle="Comma"/>
    <tableColumn id="22" name="جدی" dataDxfId="21" totalsRowDxfId="20" dataCellStyle="Comma"/>
    <tableColumn id="23" name="دلو" dataDxfId="19" totalsRowDxfId="18" dataCellStyle="Comma"/>
    <tableColumn id="24" name="حوت" dataDxfId="17" totalsRowDxfId="16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G34"/>
  <sheetViews>
    <sheetView zoomScaleNormal="100" workbookViewId="0">
      <selection activeCell="F10" sqref="F10"/>
    </sheetView>
  </sheetViews>
  <sheetFormatPr defaultRowHeight="18"/>
  <cols>
    <col min="1" max="1" width="7.5" bestFit="1" customWidth="1"/>
    <col min="2" max="2" width="10" bestFit="1" customWidth="1"/>
    <col min="3" max="3" width="8.4140625" bestFit="1" customWidth="1"/>
    <col min="4" max="4" width="9.6640625" customWidth="1"/>
    <col min="5" max="5" width="6.6640625" style="7" bestFit="1" customWidth="1"/>
    <col min="6" max="6" width="6.83203125" style="16" bestFit="1" customWidth="1"/>
    <col min="7" max="7" width="5.6640625" style="12" bestFit="1" customWidth="1"/>
    <col min="8" max="8" width="7.1640625" style="16" bestFit="1" customWidth="1"/>
    <col min="9" max="9" width="5.6640625" style="17" bestFit="1" customWidth="1"/>
    <col min="10" max="10" width="7.58203125" style="16" bestFit="1" customWidth="1"/>
    <col min="11" max="11" width="5.6640625" style="17" bestFit="1" customWidth="1"/>
    <col min="12" max="12" width="7.4140625" style="16" bestFit="1" customWidth="1"/>
    <col min="13" max="13" width="5.6640625" style="17" bestFit="1" customWidth="1"/>
    <col min="14" max="14" width="7.83203125" style="16" bestFit="1" customWidth="1"/>
    <col min="15" max="15" width="6.58203125" style="17" bestFit="1" customWidth="1"/>
    <col min="16" max="16" width="7" style="16" bestFit="1" customWidth="1"/>
    <col min="17" max="17" width="5.6640625" style="17" bestFit="1" customWidth="1"/>
    <col min="18" max="18" width="7.4140625" style="16" bestFit="1" customWidth="1"/>
    <col min="19" max="19" width="5.6640625" style="17" bestFit="1" customWidth="1"/>
    <col min="20" max="20" width="7.58203125" style="16" bestFit="1" customWidth="1"/>
    <col min="21" max="21" width="6.58203125" style="17" bestFit="1" customWidth="1"/>
    <col min="22" max="22" width="7.1640625" style="16" bestFit="1" customWidth="1"/>
    <col min="23" max="23" width="6.08203125" style="17" bestFit="1" customWidth="1"/>
    <col min="24" max="24" width="7.33203125" style="16" bestFit="1" customWidth="1"/>
    <col min="25" max="25" width="6.58203125" style="17" bestFit="1" customWidth="1"/>
    <col min="26" max="26" width="7.6640625" style="16" bestFit="1" customWidth="1"/>
    <col min="27" max="27" width="6.08203125" style="17" bestFit="1" customWidth="1"/>
    <col min="28" max="28" width="7.5" style="16" bestFit="1" customWidth="1"/>
    <col min="29" max="29" width="5.6640625" style="17" bestFit="1" customWidth="1"/>
    <col min="30" max="30" width="15.33203125" bestFit="1" customWidth="1"/>
    <col min="31" max="31" width="9" bestFit="1" customWidth="1"/>
    <col min="32" max="32" width="11.4140625" bestFit="1" customWidth="1"/>
    <col min="33" max="33" width="13.9140625" bestFit="1" customWidth="1"/>
  </cols>
  <sheetData>
    <row r="1" spans="1:33" ht="8.25" customHeight="1">
      <c r="A1" s="238"/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9"/>
    </row>
    <row r="2" spans="1:33" ht="8.25" customHeight="1">
      <c r="A2" s="2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1"/>
    </row>
    <row r="3" spans="1:33" ht="8.25" customHeight="1">
      <c r="A3" s="240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1"/>
    </row>
    <row r="4" spans="1:33" ht="8.25" customHeight="1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1"/>
    </row>
    <row r="5" spans="1:33" ht="8.25" customHeight="1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1"/>
    </row>
    <row r="6" spans="1:33" ht="1.5" customHeight="1">
      <c r="A6" s="242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  <c r="AE6" s="242"/>
      <c r="AF6" s="242"/>
      <c r="AG6" s="243"/>
    </row>
    <row r="7" spans="1:33" ht="21.75" customHeight="1">
      <c r="A7" s="23" t="s">
        <v>0</v>
      </c>
      <c r="B7" s="18" t="s">
        <v>19</v>
      </c>
      <c r="C7" s="18" t="s">
        <v>1</v>
      </c>
      <c r="D7" s="18" t="s">
        <v>18</v>
      </c>
      <c r="E7" s="18" t="s">
        <v>17</v>
      </c>
      <c r="F7" s="8" t="s">
        <v>5</v>
      </c>
      <c r="G7" s="24" t="s">
        <v>26</v>
      </c>
      <c r="H7" s="8" t="s">
        <v>6</v>
      </c>
      <c r="I7" s="24" t="s">
        <v>27</v>
      </c>
      <c r="J7" s="8" t="s">
        <v>7</v>
      </c>
      <c r="K7" s="24" t="s">
        <v>28</v>
      </c>
      <c r="L7" s="8" t="s">
        <v>8</v>
      </c>
      <c r="M7" s="24" t="s">
        <v>29</v>
      </c>
      <c r="N7" s="8" t="s">
        <v>2</v>
      </c>
      <c r="O7" s="24" t="s">
        <v>30</v>
      </c>
      <c r="P7" s="8" t="s">
        <v>9</v>
      </c>
      <c r="Q7" s="24" t="s">
        <v>31</v>
      </c>
      <c r="R7" s="8" t="s">
        <v>20</v>
      </c>
      <c r="S7" s="24" t="s">
        <v>32</v>
      </c>
      <c r="T7" s="8" t="s">
        <v>10</v>
      </c>
      <c r="U7" s="24" t="s">
        <v>33</v>
      </c>
      <c r="V7" s="8" t="s">
        <v>11</v>
      </c>
      <c r="W7" s="24" t="s">
        <v>34</v>
      </c>
      <c r="X7" s="8" t="s">
        <v>12</v>
      </c>
      <c r="Y7" s="24" t="s">
        <v>35</v>
      </c>
      <c r="Z7" s="8" t="s">
        <v>13</v>
      </c>
      <c r="AA7" s="24" t="s">
        <v>36</v>
      </c>
      <c r="AB7" s="8" t="s">
        <v>14</v>
      </c>
      <c r="AC7" s="24" t="s">
        <v>37</v>
      </c>
      <c r="AD7" s="18" t="s">
        <v>3</v>
      </c>
      <c r="AE7" s="18" t="s">
        <v>4</v>
      </c>
      <c r="AF7" s="18" t="s">
        <v>21</v>
      </c>
      <c r="AG7" s="18" t="s">
        <v>22</v>
      </c>
    </row>
    <row r="8" spans="1:33" s="20" customFormat="1" hidden="1">
      <c r="A8" s="18" t="s">
        <v>0</v>
      </c>
      <c r="B8" s="18" t="s">
        <v>19</v>
      </c>
      <c r="C8" s="18" t="s">
        <v>1</v>
      </c>
      <c r="D8" s="18" t="s">
        <v>18</v>
      </c>
      <c r="E8" s="18" t="s">
        <v>17</v>
      </c>
      <c r="F8" s="8" t="s">
        <v>5</v>
      </c>
      <c r="G8" s="9" t="s">
        <v>25</v>
      </c>
      <c r="H8" s="8" t="s">
        <v>6</v>
      </c>
      <c r="I8" s="9" t="s">
        <v>27</v>
      </c>
      <c r="J8" s="8" t="s">
        <v>7</v>
      </c>
      <c r="K8" s="9" t="s">
        <v>26</v>
      </c>
      <c r="L8" s="8" t="s">
        <v>8</v>
      </c>
      <c r="M8" s="9" t="s">
        <v>26</v>
      </c>
      <c r="N8" s="8" t="s">
        <v>2</v>
      </c>
      <c r="O8" s="9"/>
      <c r="P8" s="8" t="s">
        <v>9</v>
      </c>
      <c r="Q8" s="9"/>
      <c r="R8" s="8" t="s">
        <v>20</v>
      </c>
      <c r="S8" s="9"/>
      <c r="T8" s="8" t="s">
        <v>10</v>
      </c>
      <c r="U8" s="9"/>
      <c r="V8" s="8" t="s">
        <v>11</v>
      </c>
      <c r="W8" s="9"/>
      <c r="X8" s="8" t="s">
        <v>12</v>
      </c>
      <c r="Y8" s="9" t="s">
        <v>27</v>
      </c>
      <c r="Z8" s="8" t="s">
        <v>13</v>
      </c>
      <c r="AA8" s="9"/>
      <c r="AB8" s="8" t="s">
        <v>14</v>
      </c>
      <c r="AC8" s="9"/>
      <c r="AD8" s="18" t="s">
        <v>3</v>
      </c>
      <c r="AE8" s="18" t="s">
        <v>4</v>
      </c>
      <c r="AF8" s="18" t="s">
        <v>21</v>
      </c>
      <c r="AG8" s="18" t="s">
        <v>22</v>
      </c>
    </row>
    <row r="9" spans="1:33">
      <c r="A9" s="19"/>
      <c r="B9" s="19"/>
      <c r="C9" s="19"/>
      <c r="D9" s="19"/>
      <c r="E9" s="19"/>
      <c r="F9" s="21" t="s">
        <v>24</v>
      </c>
      <c r="G9" s="22" t="s">
        <v>23</v>
      </c>
      <c r="H9" s="21" t="s">
        <v>24</v>
      </c>
      <c r="I9" s="22" t="s">
        <v>23</v>
      </c>
      <c r="J9" s="21" t="s">
        <v>24</v>
      </c>
      <c r="K9" s="22" t="s">
        <v>23</v>
      </c>
      <c r="L9" s="21" t="s">
        <v>24</v>
      </c>
      <c r="M9" s="22" t="s">
        <v>23</v>
      </c>
      <c r="N9" s="21" t="s">
        <v>24</v>
      </c>
      <c r="O9" s="22" t="s">
        <v>23</v>
      </c>
      <c r="P9" s="21" t="s">
        <v>24</v>
      </c>
      <c r="Q9" s="22" t="s">
        <v>23</v>
      </c>
      <c r="R9" s="21" t="s">
        <v>24</v>
      </c>
      <c r="S9" s="22" t="s">
        <v>23</v>
      </c>
      <c r="T9" s="21" t="s">
        <v>24</v>
      </c>
      <c r="U9" s="22" t="s">
        <v>23</v>
      </c>
      <c r="V9" s="21" t="s">
        <v>24</v>
      </c>
      <c r="W9" s="22" t="s">
        <v>23</v>
      </c>
      <c r="X9" s="21" t="s">
        <v>24</v>
      </c>
      <c r="Y9" s="22" t="s">
        <v>23</v>
      </c>
      <c r="Z9" s="21" t="s">
        <v>24</v>
      </c>
      <c r="AA9" s="22" t="s">
        <v>23</v>
      </c>
      <c r="AB9" s="21" t="s">
        <v>24</v>
      </c>
      <c r="AC9" s="22" t="s">
        <v>23</v>
      </c>
      <c r="AD9" s="19"/>
      <c r="AE9" s="19"/>
      <c r="AF9" s="19"/>
      <c r="AG9" s="19"/>
    </row>
    <row r="10" spans="1:33">
      <c r="A10" s="1">
        <v>1</v>
      </c>
      <c r="B10" s="1">
        <v>1001</v>
      </c>
      <c r="C10" s="1" t="s">
        <v>15</v>
      </c>
      <c r="D10" s="1" t="s">
        <v>16</v>
      </c>
      <c r="E10" s="5">
        <v>5000</v>
      </c>
      <c r="F10" s="14">
        <v>5000</v>
      </c>
      <c r="G10" s="10">
        <f t="shared" ref="G10:G25" si="0">E10-F10</f>
        <v>0</v>
      </c>
      <c r="H10" s="14">
        <v>5000</v>
      </c>
      <c r="I10" s="11">
        <f t="shared" ref="I10:I26" si="1">E10-H10</f>
        <v>0</v>
      </c>
      <c r="J10" s="14">
        <v>5000</v>
      </c>
      <c r="K10" s="11">
        <f t="shared" ref="K10:K26" si="2">E10-J10</f>
        <v>0</v>
      </c>
      <c r="L10" s="14">
        <v>5000</v>
      </c>
      <c r="M10" s="11">
        <f t="shared" ref="M10:M27" si="3">E10-L10</f>
        <v>0</v>
      </c>
      <c r="N10" s="14">
        <v>5000</v>
      </c>
      <c r="O10" s="11">
        <f t="shared" ref="O10:O27" si="4">E10-N10</f>
        <v>0</v>
      </c>
      <c r="P10" s="14">
        <v>5000</v>
      </c>
      <c r="Q10" s="11">
        <f t="shared" ref="Q10:Q29" si="5">E10-P10</f>
        <v>0</v>
      </c>
      <c r="R10" s="14">
        <v>5000</v>
      </c>
      <c r="S10" s="11">
        <f t="shared" ref="S10:S29" si="6">E10-R10</f>
        <v>0</v>
      </c>
      <c r="T10" s="14">
        <v>5000</v>
      </c>
      <c r="U10" s="11">
        <f t="shared" ref="U10:U29" si="7">E10-T10</f>
        <v>0</v>
      </c>
      <c r="V10" s="14">
        <v>5000</v>
      </c>
      <c r="W10" s="11">
        <f t="shared" ref="W10:W30" si="8">E10-V10</f>
        <v>0</v>
      </c>
      <c r="X10" s="14">
        <v>5000</v>
      </c>
      <c r="Y10" s="11">
        <f t="shared" ref="Y10:Y28" si="9">E10-X10</f>
        <v>0</v>
      </c>
      <c r="Z10" s="14">
        <v>5000</v>
      </c>
      <c r="AA10" s="11">
        <f t="shared" ref="AA10:AA30" si="10">E10-Z10</f>
        <v>0</v>
      </c>
      <c r="AB10" s="14">
        <v>5000</v>
      </c>
      <c r="AC10" s="11">
        <f t="shared" ref="AC10:AC30" si="11">E10-AB10</f>
        <v>0</v>
      </c>
      <c r="AD10" s="1">
        <f t="shared" ref="AD10:AD30" si="12">SUM(F10,H10,J10,L10,N10,P10,R10,T10,V10,X10,Z10,AB10)</f>
        <v>60000</v>
      </c>
      <c r="AE10" s="2">
        <f>(E10*12)-AD10</f>
        <v>0</v>
      </c>
      <c r="AF10" s="2">
        <f>SUM(AB10,Z10,X10,V10,T10,R10,P10,N10,L10,J10,H10,F10)</f>
        <v>60000</v>
      </c>
      <c r="AG10" s="2">
        <f>SUM(AC10,AA10,Y10,W10,U10,S10,Q10,O10,M10,K10,I10,G10)</f>
        <v>0</v>
      </c>
    </row>
    <row r="11" spans="1:33">
      <c r="A11" s="1">
        <f>A10+1</f>
        <v>2</v>
      </c>
      <c r="B11" s="1"/>
      <c r="C11" s="1"/>
      <c r="D11" s="1"/>
      <c r="E11" s="5">
        <v>5000</v>
      </c>
      <c r="F11" s="14">
        <v>2000</v>
      </c>
      <c r="G11" s="10">
        <f t="shared" si="0"/>
        <v>3000</v>
      </c>
      <c r="H11" s="14">
        <v>5000</v>
      </c>
      <c r="I11" s="11">
        <f t="shared" si="1"/>
        <v>0</v>
      </c>
      <c r="J11" s="14"/>
      <c r="K11" s="11">
        <f t="shared" si="2"/>
        <v>5000</v>
      </c>
      <c r="L11" s="14"/>
      <c r="M11" s="11">
        <f t="shared" si="3"/>
        <v>5000</v>
      </c>
      <c r="N11" s="14"/>
      <c r="O11" s="11">
        <f t="shared" si="4"/>
        <v>5000</v>
      </c>
      <c r="P11" s="14"/>
      <c r="Q11" s="11">
        <f t="shared" si="5"/>
        <v>5000</v>
      </c>
      <c r="R11" s="14"/>
      <c r="S11" s="11">
        <f t="shared" si="6"/>
        <v>5000</v>
      </c>
      <c r="T11" s="14"/>
      <c r="U11" s="11">
        <f t="shared" si="7"/>
        <v>5000</v>
      </c>
      <c r="V11" s="14"/>
      <c r="W11" s="11">
        <f t="shared" si="8"/>
        <v>5000</v>
      </c>
      <c r="X11" s="14"/>
      <c r="Y11" s="11">
        <f t="shared" si="9"/>
        <v>5000</v>
      </c>
      <c r="Z11" s="14"/>
      <c r="AA11" s="11">
        <f t="shared" si="10"/>
        <v>5000</v>
      </c>
      <c r="AB11" s="14"/>
      <c r="AC11" s="11">
        <f t="shared" si="11"/>
        <v>5000</v>
      </c>
      <c r="AD11" s="1">
        <f t="shared" si="12"/>
        <v>7000</v>
      </c>
      <c r="AE11" s="2">
        <f t="shared" ref="AE11:AE30" si="13">(E11*12)-AD11</f>
        <v>53000</v>
      </c>
      <c r="AF11" s="2"/>
      <c r="AG11" s="2"/>
    </row>
    <row r="12" spans="1:33">
      <c r="A12" s="1">
        <f t="shared" ref="A12:A34" si="14">A11+1</f>
        <v>3</v>
      </c>
      <c r="B12" s="1"/>
      <c r="C12" s="1"/>
      <c r="D12" s="1"/>
      <c r="E12" s="5"/>
      <c r="F12" s="14"/>
      <c r="G12" s="10">
        <f t="shared" si="0"/>
        <v>0</v>
      </c>
      <c r="H12" s="14"/>
      <c r="I12" s="11">
        <f t="shared" si="1"/>
        <v>0</v>
      </c>
      <c r="J12" s="14"/>
      <c r="K12" s="11">
        <f t="shared" si="2"/>
        <v>0</v>
      </c>
      <c r="L12" s="14"/>
      <c r="M12" s="11">
        <f t="shared" si="3"/>
        <v>0</v>
      </c>
      <c r="N12" s="14"/>
      <c r="O12" s="11">
        <f t="shared" si="4"/>
        <v>0</v>
      </c>
      <c r="P12" s="14"/>
      <c r="Q12" s="11">
        <f t="shared" si="5"/>
        <v>0</v>
      </c>
      <c r="R12" s="14"/>
      <c r="S12" s="11">
        <f t="shared" si="6"/>
        <v>0</v>
      </c>
      <c r="T12" s="14"/>
      <c r="U12" s="11">
        <f t="shared" si="7"/>
        <v>0</v>
      </c>
      <c r="V12" s="14"/>
      <c r="W12" s="11">
        <f t="shared" si="8"/>
        <v>0</v>
      </c>
      <c r="X12" s="14"/>
      <c r="Y12" s="11">
        <f t="shared" si="9"/>
        <v>0</v>
      </c>
      <c r="Z12" s="14"/>
      <c r="AA12" s="11">
        <f t="shared" si="10"/>
        <v>0</v>
      </c>
      <c r="AB12" s="14"/>
      <c r="AC12" s="11">
        <f t="shared" si="11"/>
        <v>0</v>
      </c>
      <c r="AD12" s="1">
        <f t="shared" si="12"/>
        <v>0</v>
      </c>
      <c r="AE12" s="2">
        <f t="shared" si="13"/>
        <v>0</v>
      </c>
      <c r="AF12" s="2"/>
      <c r="AG12" s="2"/>
    </row>
    <row r="13" spans="1:33">
      <c r="A13" s="1">
        <f t="shared" si="14"/>
        <v>4</v>
      </c>
      <c r="B13" s="1"/>
      <c r="C13" s="1"/>
      <c r="D13" s="1"/>
      <c r="E13" s="5"/>
      <c r="F13" s="14"/>
      <c r="G13" s="10">
        <f t="shared" si="0"/>
        <v>0</v>
      </c>
      <c r="H13" s="14"/>
      <c r="I13" s="11">
        <f t="shared" si="1"/>
        <v>0</v>
      </c>
      <c r="J13" s="14"/>
      <c r="K13" s="11">
        <f t="shared" si="2"/>
        <v>0</v>
      </c>
      <c r="L13" s="14"/>
      <c r="M13" s="11">
        <f t="shared" si="3"/>
        <v>0</v>
      </c>
      <c r="N13" s="14"/>
      <c r="O13" s="11">
        <f t="shared" si="4"/>
        <v>0</v>
      </c>
      <c r="P13" s="14"/>
      <c r="Q13" s="11">
        <f t="shared" si="5"/>
        <v>0</v>
      </c>
      <c r="R13" s="14"/>
      <c r="S13" s="11">
        <f t="shared" si="6"/>
        <v>0</v>
      </c>
      <c r="T13" s="14"/>
      <c r="U13" s="11">
        <f t="shared" si="7"/>
        <v>0</v>
      </c>
      <c r="V13" s="14"/>
      <c r="W13" s="11">
        <f t="shared" si="8"/>
        <v>0</v>
      </c>
      <c r="X13" s="13"/>
      <c r="Y13" s="11">
        <f t="shared" si="9"/>
        <v>0</v>
      </c>
      <c r="Z13" s="14"/>
      <c r="AA13" s="11">
        <f t="shared" si="10"/>
        <v>0</v>
      </c>
      <c r="AB13" s="14"/>
      <c r="AC13" s="11">
        <f t="shared" si="11"/>
        <v>0</v>
      </c>
      <c r="AD13" s="1">
        <f t="shared" si="12"/>
        <v>0</v>
      </c>
      <c r="AE13" s="2">
        <f t="shared" si="13"/>
        <v>0</v>
      </c>
      <c r="AF13" s="2"/>
      <c r="AG13" s="2"/>
    </row>
    <row r="14" spans="1:33">
      <c r="A14" s="1">
        <f t="shared" si="14"/>
        <v>5</v>
      </c>
      <c r="B14" s="1"/>
      <c r="C14" s="1"/>
      <c r="D14" s="1"/>
      <c r="E14" s="5"/>
      <c r="F14" s="14"/>
      <c r="G14" s="10">
        <f t="shared" si="0"/>
        <v>0</v>
      </c>
      <c r="H14" s="14"/>
      <c r="I14" s="11">
        <f t="shared" si="1"/>
        <v>0</v>
      </c>
      <c r="J14" s="14"/>
      <c r="K14" s="11">
        <f t="shared" si="2"/>
        <v>0</v>
      </c>
      <c r="L14" s="14"/>
      <c r="M14" s="11">
        <f t="shared" si="3"/>
        <v>0</v>
      </c>
      <c r="N14" s="14"/>
      <c r="O14" s="11">
        <f t="shared" si="4"/>
        <v>0</v>
      </c>
      <c r="P14" s="14"/>
      <c r="Q14" s="11">
        <f t="shared" si="5"/>
        <v>0</v>
      </c>
      <c r="R14" s="14"/>
      <c r="S14" s="11">
        <f t="shared" si="6"/>
        <v>0</v>
      </c>
      <c r="T14" s="14"/>
      <c r="U14" s="11">
        <f t="shared" si="7"/>
        <v>0</v>
      </c>
      <c r="V14" s="14"/>
      <c r="W14" s="11">
        <f t="shared" si="8"/>
        <v>0</v>
      </c>
      <c r="X14" s="14"/>
      <c r="Y14" s="11">
        <f t="shared" si="9"/>
        <v>0</v>
      </c>
      <c r="Z14" s="14"/>
      <c r="AA14" s="11">
        <f t="shared" si="10"/>
        <v>0</v>
      </c>
      <c r="AB14" s="14"/>
      <c r="AC14" s="11">
        <f t="shared" si="11"/>
        <v>0</v>
      </c>
      <c r="AD14" s="1">
        <f t="shared" si="12"/>
        <v>0</v>
      </c>
      <c r="AE14" s="2">
        <f t="shared" si="13"/>
        <v>0</v>
      </c>
      <c r="AF14" s="2"/>
      <c r="AG14" s="2"/>
    </row>
    <row r="15" spans="1:33">
      <c r="A15" s="1">
        <f t="shared" si="14"/>
        <v>6</v>
      </c>
      <c r="B15" s="1"/>
      <c r="C15" s="1"/>
      <c r="D15" s="1"/>
      <c r="E15" s="5"/>
      <c r="F15" s="14"/>
      <c r="G15" s="10">
        <f t="shared" si="0"/>
        <v>0</v>
      </c>
      <c r="H15" s="14"/>
      <c r="I15" s="11">
        <f t="shared" si="1"/>
        <v>0</v>
      </c>
      <c r="J15" s="14"/>
      <c r="K15" s="11">
        <f t="shared" si="2"/>
        <v>0</v>
      </c>
      <c r="L15" s="14"/>
      <c r="M15" s="11">
        <f t="shared" si="3"/>
        <v>0</v>
      </c>
      <c r="N15" s="14"/>
      <c r="O15" s="11">
        <f t="shared" si="4"/>
        <v>0</v>
      </c>
      <c r="P15" s="14"/>
      <c r="Q15" s="11">
        <f t="shared" si="5"/>
        <v>0</v>
      </c>
      <c r="R15" s="14"/>
      <c r="S15" s="11">
        <f t="shared" si="6"/>
        <v>0</v>
      </c>
      <c r="T15" s="14"/>
      <c r="U15" s="11">
        <f t="shared" si="7"/>
        <v>0</v>
      </c>
      <c r="V15" s="14"/>
      <c r="W15" s="11">
        <f t="shared" si="8"/>
        <v>0</v>
      </c>
      <c r="X15" s="14"/>
      <c r="Y15" s="11">
        <f t="shared" si="9"/>
        <v>0</v>
      </c>
      <c r="Z15" s="14"/>
      <c r="AA15" s="11">
        <f t="shared" si="10"/>
        <v>0</v>
      </c>
      <c r="AB15" s="14"/>
      <c r="AC15" s="11">
        <f t="shared" si="11"/>
        <v>0</v>
      </c>
      <c r="AD15" s="1">
        <f t="shared" si="12"/>
        <v>0</v>
      </c>
      <c r="AE15" s="2">
        <f t="shared" si="13"/>
        <v>0</v>
      </c>
      <c r="AF15" s="2"/>
      <c r="AG15" s="2"/>
    </row>
    <row r="16" spans="1:33">
      <c r="A16" s="1">
        <f t="shared" si="14"/>
        <v>7</v>
      </c>
      <c r="B16" s="1"/>
      <c r="C16" s="1"/>
      <c r="D16" s="1"/>
      <c r="E16" s="5"/>
      <c r="F16" s="14"/>
      <c r="G16" s="10">
        <f t="shared" si="0"/>
        <v>0</v>
      </c>
      <c r="H16" s="14"/>
      <c r="I16" s="11">
        <f t="shared" si="1"/>
        <v>0</v>
      </c>
      <c r="J16" s="14"/>
      <c r="K16" s="11">
        <f t="shared" si="2"/>
        <v>0</v>
      </c>
      <c r="L16" s="14"/>
      <c r="M16" s="11">
        <f t="shared" si="3"/>
        <v>0</v>
      </c>
      <c r="N16" s="14"/>
      <c r="O16" s="11">
        <f t="shared" si="4"/>
        <v>0</v>
      </c>
      <c r="P16" s="14"/>
      <c r="Q16" s="11">
        <f t="shared" si="5"/>
        <v>0</v>
      </c>
      <c r="R16" s="14"/>
      <c r="S16" s="11">
        <f t="shared" si="6"/>
        <v>0</v>
      </c>
      <c r="T16" s="14"/>
      <c r="U16" s="11">
        <f t="shared" si="7"/>
        <v>0</v>
      </c>
      <c r="V16" s="14"/>
      <c r="W16" s="11">
        <f t="shared" si="8"/>
        <v>0</v>
      </c>
      <c r="X16" s="14"/>
      <c r="Y16" s="11">
        <f t="shared" si="9"/>
        <v>0</v>
      </c>
      <c r="Z16" s="14"/>
      <c r="AA16" s="11">
        <f t="shared" si="10"/>
        <v>0</v>
      </c>
      <c r="AB16" s="14"/>
      <c r="AC16" s="11">
        <f t="shared" si="11"/>
        <v>0</v>
      </c>
      <c r="AD16" s="1">
        <f t="shared" si="12"/>
        <v>0</v>
      </c>
      <c r="AE16" s="2">
        <f t="shared" si="13"/>
        <v>0</v>
      </c>
      <c r="AF16" s="2"/>
      <c r="AG16" s="2"/>
    </row>
    <row r="17" spans="1:33">
      <c r="A17" s="1">
        <f t="shared" si="14"/>
        <v>8</v>
      </c>
      <c r="B17" s="1"/>
      <c r="C17" s="1"/>
      <c r="D17" s="1"/>
      <c r="E17" s="5"/>
      <c r="F17" s="14"/>
      <c r="G17" s="10">
        <f t="shared" si="0"/>
        <v>0</v>
      </c>
      <c r="H17" s="14"/>
      <c r="I17" s="11">
        <f t="shared" si="1"/>
        <v>0</v>
      </c>
      <c r="J17" s="14"/>
      <c r="K17" s="11">
        <f t="shared" si="2"/>
        <v>0</v>
      </c>
      <c r="L17" s="14"/>
      <c r="M17" s="11">
        <f t="shared" si="3"/>
        <v>0</v>
      </c>
      <c r="N17" s="14"/>
      <c r="O17" s="11">
        <f t="shared" si="4"/>
        <v>0</v>
      </c>
      <c r="P17" s="14"/>
      <c r="Q17" s="11">
        <f t="shared" si="5"/>
        <v>0</v>
      </c>
      <c r="R17" s="14"/>
      <c r="S17" s="11">
        <f t="shared" si="6"/>
        <v>0</v>
      </c>
      <c r="T17" s="14"/>
      <c r="U17" s="11">
        <f t="shared" si="7"/>
        <v>0</v>
      </c>
      <c r="V17" s="14"/>
      <c r="W17" s="11">
        <f t="shared" si="8"/>
        <v>0</v>
      </c>
      <c r="X17" s="14"/>
      <c r="Y17" s="11">
        <f t="shared" si="9"/>
        <v>0</v>
      </c>
      <c r="Z17" s="14"/>
      <c r="AA17" s="11">
        <f t="shared" si="10"/>
        <v>0</v>
      </c>
      <c r="AB17" s="14"/>
      <c r="AC17" s="11">
        <f t="shared" si="11"/>
        <v>0</v>
      </c>
      <c r="AD17" s="1">
        <f t="shared" si="12"/>
        <v>0</v>
      </c>
      <c r="AE17" s="2">
        <f t="shared" si="13"/>
        <v>0</v>
      </c>
      <c r="AF17" s="2"/>
      <c r="AG17" s="2"/>
    </row>
    <row r="18" spans="1:33">
      <c r="A18" s="1">
        <f t="shared" si="14"/>
        <v>9</v>
      </c>
      <c r="B18" s="1"/>
      <c r="C18" s="1"/>
      <c r="D18" s="1"/>
      <c r="E18" s="5"/>
      <c r="F18" s="14"/>
      <c r="G18" s="10">
        <f t="shared" si="0"/>
        <v>0</v>
      </c>
      <c r="H18" s="14"/>
      <c r="I18" s="11">
        <f t="shared" si="1"/>
        <v>0</v>
      </c>
      <c r="J18" s="14"/>
      <c r="K18" s="11">
        <f t="shared" si="2"/>
        <v>0</v>
      </c>
      <c r="L18" s="14"/>
      <c r="M18" s="11">
        <f t="shared" si="3"/>
        <v>0</v>
      </c>
      <c r="N18" s="14"/>
      <c r="O18" s="11">
        <f t="shared" si="4"/>
        <v>0</v>
      </c>
      <c r="P18" s="14"/>
      <c r="Q18" s="11">
        <f t="shared" si="5"/>
        <v>0</v>
      </c>
      <c r="R18" s="14"/>
      <c r="S18" s="11">
        <f t="shared" si="6"/>
        <v>0</v>
      </c>
      <c r="T18" s="14"/>
      <c r="U18" s="11">
        <f t="shared" si="7"/>
        <v>0</v>
      </c>
      <c r="V18" s="14"/>
      <c r="W18" s="11">
        <f t="shared" si="8"/>
        <v>0</v>
      </c>
      <c r="X18" s="14"/>
      <c r="Y18" s="11">
        <f t="shared" si="9"/>
        <v>0</v>
      </c>
      <c r="Z18" s="14"/>
      <c r="AA18" s="11">
        <f t="shared" si="10"/>
        <v>0</v>
      </c>
      <c r="AB18" s="14"/>
      <c r="AC18" s="11">
        <f t="shared" si="11"/>
        <v>0</v>
      </c>
      <c r="AD18" s="1">
        <f t="shared" si="12"/>
        <v>0</v>
      </c>
      <c r="AE18" s="2">
        <f t="shared" si="13"/>
        <v>0</v>
      </c>
      <c r="AF18" s="2"/>
      <c r="AG18" s="2"/>
    </row>
    <row r="19" spans="1:33">
      <c r="A19" s="1">
        <f t="shared" si="14"/>
        <v>10</v>
      </c>
      <c r="B19" s="1"/>
      <c r="C19" s="1"/>
      <c r="D19" s="1"/>
      <c r="E19" s="5"/>
      <c r="F19" s="14"/>
      <c r="G19" s="10">
        <f t="shared" si="0"/>
        <v>0</v>
      </c>
      <c r="H19" s="14"/>
      <c r="I19" s="11">
        <f t="shared" si="1"/>
        <v>0</v>
      </c>
      <c r="J19" s="14"/>
      <c r="K19" s="11">
        <f t="shared" si="2"/>
        <v>0</v>
      </c>
      <c r="L19" s="14"/>
      <c r="M19" s="11">
        <f t="shared" si="3"/>
        <v>0</v>
      </c>
      <c r="N19" s="14"/>
      <c r="O19" s="11">
        <f t="shared" si="4"/>
        <v>0</v>
      </c>
      <c r="P19" s="14"/>
      <c r="Q19" s="11">
        <f t="shared" si="5"/>
        <v>0</v>
      </c>
      <c r="R19" s="14"/>
      <c r="S19" s="11">
        <f t="shared" si="6"/>
        <v>0</v>
      </c>
      <c r="T19" s="14"/>
      <c r="U19" s="11">
        <f t="shared" si="7"/>
        <v>0</v>
      </c>
      <c r="V19" s="14"/>
      <c r="W19" s="11">
        <f t="shared" si="8"/>
        <v>0</v>
      </c>
      <c r="X19" s="14"/>
      <c r="Y19" s="11">
        <f t="shared" si="9"/>
        <v>0</v>
      </c>
      <c r="Z19" s="14"/>
      <c r="AA19" s="11">
        <f t="shared" si="10"/>
        <v>0</v>
      </c>
      <c r="AB19" s="14"/>
      <c r="AC19" s="11">
        <f t="shared" si="11"/>
        <v>0</v>
      </c>
      <c r="AD19" s="1">
        <f t="shared" si="12"/>
        <v>0</v>
      </c>
      <c r="AE19" s="2">
        <f t="shared" si="13"/>
        <v>0</v>
      </c>
      <c r="AF19" s="2"/>
      <c r="AG19" s="2"/>
    </row>
    <row r="20" spans="1:33">
      <c r="A20" s="1">
        <f t="shared" si="14"/>
        <v>11</v>
      </c>
      <c r="B20" s="1"/>
      <c r="C20" s="1"/>
      <c r="D20" s="1"/>
      <c r="E20" s="5"/>
      <c r="F20" s="14"/>
      <c r="G20" s="10">
        <f t="shared" si="0"/>
        <v>0</v>
      </c>
      <c r="H20" s="14"/>
      <c r="I20" s="11">
        <f t="shared" si="1"/>
        <v>0</v>
      </c>
      <c r="J20" s="14"/>
      <c r="K20" s="11">
        <f t="shared" si="2"/>
        <v>0</v>
      </c>
      <c r="L20" s="14"/>
      <c r="M20" s="11">
        <f t="shared" si="3"/>
        <v>0</v>
      </c>
      <c r="N20" s="14"/>
      <c r="O20" s="11">
        <f t="shared" si="4"/>
        <v>0</v>
      </c>
      <c r="P20" s="14"/>
      <c r="Q20" s="11">
        <f t="shared" si="5"/>
        <v>0</v>
      </c>
      <c r="R20" s="14"/>
      <c r="S20" s="11">
        <f t="shared" si="6"/>
        <v>0</v>
      </c>
      <c r="T20" s="14"/>
      <c r="U20" s="11">
        <f t="shared" si="7"/>
        <v>0</v>
      </c>
      <c r="V20" s="14"/>
      <c r="W20" s="11">
        <f t="shared" si="8"/>
        <v>0</v>
      </c>
      <c r="X20" s="14"/>
      <c r="Y20" s="11">
        <f t="shared" si="9"/>
        <v>0</v>
      </c>
      <c r="Z20" s="14"/>
      <c r="AA20" s="11">
        <f t="shared" si="10"/>
        <v>0</v>
      </c>
      <c r="AB20" s="14"/>
      <c r="AC20" s="11">
        <f t="shared" si="11"/>
        <v>0</v>
      </c>
      <c r="AD20" s="1">
        <f t="shared" si="12"/>
        <v>0</v>
      </c>
      <c r="AE20" s="2">
        <f t="shared" si="13"/>
        <v>0</v>
      </c>
      <c r="AF20" s="2"/>
      <c r="AG20" s="2"/>
    </row>
    <row r="21" spans="1:33">
      <c r="A21" s="1">
        <f t="shared" si="14"/>
        <v>12</v>
      </c>
      <c r="B21" s="1"/>
      <c r="C21" s="1"/>
      <c r="D21" s="1"/>
      <c r="E21" s="5"/>
      <c r="F21" s="14"/>
      <c r="G21" s="10">
        <f t="shared" si="0"/>
        <v>0</v>
      </c>
      <c r="H21" s="14"/>
      <c r="I21" s="11">
        <f t="shared" si="1"/>
        <v>0</v>
      </c>
      <c r="J21" s="14"/>
      <c r="K21" s="11">
        <f t="shared" si="2"/>
        <v>0</v>
      </c>
      <c r="L21" s="14"/>
      <c r="M21" s="11">
        <f t="shared" si="3"/>
        <v>0</v>
      </c>
      <c r="N21" s="14"/>
      <c r="O21" s="11">
        <f t="shared" si="4"/>
        <v>0</v>
      </c>
      <c r="P21" s="14"/>
      <c r="Q21" s="11">
        <f t="shared" si="5"/>
        <v>0</v>
      </c>
      <c r="R21" s="14"/>
      <c r="S21" s="11">
        <f t="shared" si="6"/>
        <v>0</v>
      </c>
      <c r="T21" s="14"/>
      <c r="U21" s="11">
        <f t="shared" si="7"/>
        <v>0</v>
      </c>
      <c r="V21" s="14"/>
      <c r="W21" s="11">
        <f t="shared" si="8"/>
        <v>0</v>
      </c>
      <c r="X21" s="14"/>
      <c r="Y21" s="11">
        <f t="shared" si="9"/>
        <v>0</v>
      </c>
      <c r="Z21" s="14"/>
      <c r="AA21" s="11">
        <f t="shared" si="10"/>
        <v>0</v>
      </c>
      <c r="AB21" s="14"/>
      <c r="AC21" s="11">
        <f t="shared" si="11"/>
        <v>0</v>
      </c>
      <c r="AD21" s="1">
        <f t="shared" si="12"/>
        <v>0</v>
      </c>
      <c r="AE21" s="2">
        <f t="shared" si="13"/>
        <v>0</v>
      </c>
      <c r="AF21" s="2"/>
      <c r="AG21" s="2"/>
    </row>
    <row r="22" spans="1:33">
      <c r="A22" s="1">
        <f t="shared" si="14"/>
        <v>13</v>
      </c>
      <c r="B22" s="1"/>
      <c r="C22" s="1"/>
      <c r="D22" s="1"/>
      <c r="E22" s="5"/>
      <c r="F22" s="14"/>
      <c r="G22" s="10">
        <f t="shared" si="0"/>
        <v>0</v>
      </c>
      <c r="H22" s="14"/>
      <c r="I22" s="11">
        <f t="shared" si="1"/>
        <v>0</v>
      </c>
      <c r="J22" s="14"/>
      <c r="K22" s="11">
        <f t="shared" si="2"/>
        <v>0</v>
      </c>
      <c r="L22" s="14"/>
      <c r="M22" s="11">
        <f t="shared" si="3"/>
        <v>0</v>
      </c>
      <c r="N22" s="14"/>
      <c r="O22" s="11">
        <f t="shared" si="4"/>
        <v>0</v>
      </c>
      <c r="P22" s="14"/>
      <c r="Q22" s="11">
        <f t="shared" si="5"/>
        <v>0</v>
      </c>
      <c r="R22" s="14"/>
      <c r="S22" s="11">
        <f t="shared" si="6"/>
        <v>0</v>
      </c>
      <c r="T22" s="14"/>
      <c r="U22" s="11">
        <f t="shared" si="7"/>
        <v>0</v>
      </c>
      <c r="V22" s="14"/>
      <c r="W22" s="11">
        <f t="shared" si="8"/>
        <v>0</v>
      </c>
      <c r="X22" s="14"/>
      <c r="Y22" s="11">
        <f t="shared" si="9"/>
        <v>0</v>
      </c>
      <c r="Z22" s="14"/>
      <c r="AA22" s="11">
        <f t="shared" si="10"/>
        <v>0</v>
      </c>
      <c r="AB22" s="14"/>
      <c r="AC22" s="11">
        <f t="shared" si="11"/>
        <v>0</v>
      </c>
      <c r="AD22" s="1">
        <f t="shared" si="12"/>
        <v>0</v>
      </c>
      <c r="AE22" s="2">
        <f t="shared" si="13"/>
        <v>0</v>
      </c>
      <c r="AF22" s="2"/>
      <c r="AG22" s="2"/>
    </row>
    <row r="23" spans="1:33">
      <c r="A23" s="1">
        <f t="shared" si="14"/>
        <v>14</v>
      </c>
      <c r="B23" s="1"/>
      <c r="C23" s="1"/>
      <c r="D23" s="1"/>
      <c r="E23" s="5"/>
      <c r="F23" s="14"/>
      <c r="G23" s="10">
        <f t="shared" si="0"/>
        <v>0</v>
      </c>
      <c r="H23" s="14"/>
      <c r="I23" s="11">
        <f t="shared" si="1"/>
        <v>0</v>
      </c>
      <c r="J23" s="14"/>
      <c r="K23" s="11">
        <f t="shared" si="2"/>
        <v>0</v>
      </c>
      <c r="L23" s="14"/>
      <c r="M23" s="11">
        <f t="shared" si="3"/>
        <v>0</v>
      </c>
      <c r="N23" s="14"/>
      <c r="O23" s="11">
        <f t="shared" si="4"/>
        <v>0</v>
      </c>
      <c r="P23" s="14"/>
      <c r="Q23" s="11">
        <f t="shared" si="5"/>
        <v>0</v>
      </c>
      <c r="R23" s="14"/>
      <c r="S23" s="11">
        <f t="shared" si="6"/>
        <v>0</v>
      </c>
      <c r="T23" s="14"/>
      <c r="U23" s="11">
        <f t="shared" si="7"/>
        <v>0</v>
      </c>
      <c r="V23" s="14"/>
      <c r="W23" s="11">
        <f t="shared" si="8"/>
        <v>0</v>
      </c>
      <c r="X23" s="14"/>
      <c r="Y23" s="11">
        <f t="shared" si="9"/>
        <v>0</v>
      </c>
      <c r="Z23" s="14"/>
      <c r="AA23" s="11">
        <f t="shared" si="10"/>
        <v>0</v>
      </c>
      <c r="AB23" s="14"/>
      <c r="AC23" s="11">
        <f t="shared" si="11"/>
        <v>0</v>
      </c>
      <c r="AD23" s="1">
        <f t="shared" si="12"/>
        <v>0</v>
      </c>
      <c r="AE23" s="2">
        <f t="shared" si="13"/>
        <v>0</v>
      </c>
      <c r="AF23" s="2"/>
      <c r="AG23" s="2"/>
    </row>
    <row r="24" spans="1:33">
      <c r="A24" s="1">
        <f t="shared" si="14"/>
        <v>15</v>
      </c>
      <c r="B24" s="1"/>
      <c r="C24" s="1"/>
      <c r="D24" s="1"/>
      <c r="E24" s="5"/>
      <c r="F24" s="14"/>
      <c r="G24" s="10">
        <f t="shared" si="0"/>
        <v>0</v>
      </c>
      <c r="H24" s="14"/>
      <c r="I24" s="11">
        <f t="shared" si="1"/>
        <v>0</v>
      </c>
      <c r="J24" s="14"/>
      <c r="K24" s="11">
        <f t="shared" si="2"/>
        <v>0</v>
      </c>
      <c r="L24" s="14"/>
      <c r="M24" s="11">
        <f t="shared" si="3"/>
        <v>0</v>
      </c>
      <c r="N24" s="14"/>
      <c r="O24" s="11">
        <f t="shared" si="4"/>
        <v>0</v>
      </c>
      <c r="P24" s="14"/>
      <c r="Q24" s="11">
        <f t="shared" si="5"/>
        <v>0</v>
      </c>
      <c r="R24" s="14"/>
      <c r="S24" s="11">
        <f t="shared" si="6"/>
        <v>0</v>
      </c>
      <c r="T24" s="14"/>
      <c r="U24" s="11">
        <f t="shared" si="7"/>
        <v>0</v>
      </c>
      <c r="V24" s="14"/>
      <c r="W24" s="11">
        <f t="shared" si="8"/>
        <v>0</v>
      </c>
      <c r="X24" s="14"/>
      <c r="Y24" s="11">
        <f t="shared" si="9"/>
        <v>0</v>
      </c>
      <c r="Z24" s="14"/>
      <c r="AA24" s="11">
        <f t="shared" si="10"/>
        <v>0</v>
      </c>
      <c r="AB24" s="14"/>
      <c r="AC24" s="11">
        <f t="shared" si="11"/>
        <v>0</v>
      </c>
      <c r="AD24" s="1">
        <f t="shared" si="12"/>
        <v>0</v>
      </c>
      <c r="AE24" s="2">
        <f t="shared" si="13"/>
        <v>0</v>
      </c>
      <c r="AF24" s="2"/>
      <c r="AG24" s="2"/>
    </row>
    <row r="25" spans="1:33" ht="18.600000000000001" thickBot="1">
      <c r="A25" s="1">
        <f t="shared" si="14"/>
        <v>16</v>
      </c>
      <c r="B25" s="3"/>
      <c r="C25" s="3"/>
      <c r="D25" s="3"/>
      <c r="E25" s="6"/>
      <c r="F25" s="15"/>
      <c r="G25" s="10">
        <f t="shared" si="0"/>
        <v>0</v>
      </c>
      <c r="H25" s="15"/>
      <c r="I25" s="11">
        <f t="shared" si="1"/>
        <v>0</v>
      </c>
      <c r="J25" s="15"/>
      <c r="K25" s="11">
        <f t="shared" si="2"/>
        <v>0</v>
      </c>
      <c r="L25" s="15"/>
      <c r="M25" s="11">
        <f t="shared" si="3"/>
        <v>0</v>
      </c>
      <c r="N25" s="15"/>
      <c r="O25" s="11">
        <f t="shared" si="4"/>
        <v>0</v>
      </c>
      <c r="P25" s="15"/>
      <c r="Q25" s="11">
        <f t="shared" si="5"/>
        <v>0</v>
      </c>
      <c r="R25" s="15"/>
      <c r="S25" s="11">
        <f t="shared" si="6"/>
        <v>0</v>
      </c>
      <c r="T25" s="15"/>
      <c r="U25" s="11">
        <f t="shared" si="7"/>
        <v>0</v>
      </c>
      <c r="V25" s="15"/>
      <c r="W25" s="11">
        <f t="shared" si="8"/>
        <v>0</v>
      </c>
      <c r="X25" s="15"/>
      <c r="Y25" s="11">
        <f t="shared" si="9"/>
        <v>0</v>
      </c>
      <c r="Z25" s="15"/>
      <c r="AA25" s="11">
        <f t="shared" si="10"/>
        <v>0</v>
      </c>
      <c r="AB25" s="15"/>
      <c r="AC25" s="11">
        <f t="shared" si="11"/>
        <v>0</v>
      </c>
      <c r="AD25" s="1">
        <f t="shared" si="12"/>
        <v>0</v>
      </c>
      <c r="AE25" s="2">
        <f t="shared" si="13"/>
        <v>0</v>
      </c>
      <c r="AF25" s="4"/>
      <c r="AG25" s="4"/>
    </row>
    <row r="26" spans="1:33">
      <c r="A26" s="1">
        <f t="shared" si="14"/>
        <v>17</v>
      </c>
      <c r="I26" s="11">
        <f t="shared" si="1"/>
        <v>0</v>
      </c>
      <c r="K26" s="11">
        <f t="shared" si="2"/>
        <v>0</v>
      </c>
      <c r="M26" s="11">
        <f t="shared" si="3"/>
        <v>0</v>
      </c>
      <c r="O26" s="11">
        <f t="shared" si="4"/>
        <v>0</v>
      </c>
      <c r="Q26" s="11">
        <f t="shared" si="5"/>
        <v>0</v>
      </c>
      <c r="S26" s="11">
        <f t="shared" si="6"/>
        <v>0</v>
      </c>
      <c r="U26" s="11">
        <f t="shared" si="7"/>
        <v>0</v>
      </c>
      <c r="W26" s="11">
        <f t="shared" si="8"/>
        <v>0</v>
      </c>
      <c r="Y26" s="11">
        <f t="shared" si="9"/>
        <v>0</v>
      </c>
      <c r="AA26" s="11">
        <f t="shared" si="10"/>
        <v>0</v>
      </c>
      <c r="AC26" s="11">
        <f t="shared" si="11"/>
        <v>0</v>
      </c>
      <c r="AD26" s="1">
        <f t="shared" si="12"/>
        <v>0</v>
      </c>
      <c r="AE26" s="2">
        <f t="shared" si="13"/>
        <v>0</v>
      </c>
    </row>
    <row r="27" spans="1:33">
      <c r="A27" s="1">
        <f t="shared" si="14"/>
        <v>18</v>
      </c>
      <c r="M27" s="11">
        <f t="shared" si="3"/>
        <v>0</v>
      </c>
      <c r="O27" s="11">
        <f t="shared" si="4"/>
        <v>0</v>
      </c>
      <c r="Q27" s="11">
        <f t="shared" si="5"/>
        <v>0</v>
      </c>
      <c r="S27" s="11">
        <f t="shared" si="6"/>
        <v>0</v>
      </c>
      <c r="U27" s="11">
        <f t="shared" si="7"/>
        <v>0</v>
      </c>
      <c r="W27" s="11">
        <f t="shared" si="8"/>
        <v>0</v>
      </c>
      <c r="Y27" s="11">
        <f t="shared" si="9"/>
        <v>0</v>
      </c>
      <c r="AA27" s="11">
        <f t="shared" si="10"/>
        <v>0</v>
      </c>
      <c r="AC27" s="11">
        <f t="shared" si="11"/>
        <v>0</v>
      </c>
      <c r="AD27" s="1">
        <f t="shared" si="12"/>
        <v>0</v>
      </c>
      <c r="AE27" s="2">
        <f t="shared" si="13"/>
        <v>0</v>
      </c>
    </row>
    <row r="28" spans="1:33">
      <c r="A28" s="1">
        <f t="shared" si="14"/>
        <v>19</v>
      </c>
      <c r="Q28" s="11">
        <f t="shared" si="5"/>
        <v>0</v>
      </c>
      <c r="S28" s="11">
        <f t="shared" si="6"/>
        <v>0</v>
      </c>
      <c r="U28" s="11">
        <f t="shared" si="7"/>
        <v>0</v>
      </c>
      <c r="W28" s="11">
        <f t="shared" si="8"/>
        <v>0</v>
      </c>
      <c r="Y28" s="11">
        <f t="shared" si="9"/>
        <v>0</v>
      </c>
      <c r="AA28" s="11">
        <f t="shared" si="10"/>
        <v>0</v>
      </c>
      <c r="AC28" s="11">
        <f t="shared" si="11"/>
        <v>0</v>
      </c>
      <c r="AD28" s="1">
        <f t="shared" si="12"/>
        <v>0</v>
      </c>
      <c r="AE28" s="2">
        <f t="shared" si="13"/>
        <v>0</v>
      </c>
    </row>
    <row r="29" spans="1:33">
      <c r="A29" s="1">
        <f t="shared" si="14"/>
        <v>20</v>
      </c>
      <c r="Q29" s="11">
        <f t="shared" si="5"/>
        <v>0</v>
      </c>
      <c r="S29" s="11">
        <f t="shared" si="6"/>
        <v>0</v>
      </c>
      <c r="U29" s="11">
        <f t="shared" si="7"/>
        <v>0</v>
      </c>
      <c r="W29" s="11">
        <f t="shared" si="8"/>
        <v>0</v>
      </c>
      <c r="AA29" s="11">
        <f t="shared" si="10"/>
        <v>0</v>
      </c>
      <c r="AC29" s="11">
        <f t="shared" si="11"/>
        <v>0</v>
      </c>
      <c r="AD29" s="1">
        <f t="shared" si="12"/>
        <v>0</v>
      </c>
      <c r="AE29" s="2">
        <f t="shared" si="13"/>
        <v>0</v>
      </c>
    </row>
    <row r="30" spans="1:33">
      <c r="A30" s="1">
        <f t="shared" si="14"/>
        <v>21</v>
      </c>
      <c r="W30" s="11">
        <f t="shared" si="8"/>
        <v>0</v>
      </c>
      <c r="AA30" s="11">
        <f t="shared" si="10"/>
        <v>0</v>
      </c>
      <c r="AC30" s="11">
        <f t="shared" si="11"/>
        <v>0</v>
      </c>
      <c r="AD30" s="1">
        <f t="shared" si="12"/>
        <v>0</v>
      </c>
      <c r="AE30" s="2">
        <f t="shared" si="13"/>
        <v>0</v>
      </c>
    </row>
    <row r="31" spans="1:33">
      <c r="A31" s="1">
        <f t="shared" si="14"/>
        <v>22</v>
      </c>
    </row>
    <row r="32" spans="1:33">
      <c r="A32" s="1">
        <f t="shared" si="14"/>
        <v>23</v>
      </c>
    </row>
    <row r="33" spans="1:1">
      <c r="A33" s="1">
        <f t="shared" si="14"/>
        <v>24</v>
      </c>
    </row>
    <row r="34" spans="1:1">
      <c r="A34" s="1">
        <f t="shared" si="14"/>
        <v>25</v>
      </c>
    </row>
  </sheetData>
  <mergeCells count="1">
    <mergeCell ref="A1:AG6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O80"/>
  <sheetViews>
    <sheetView rightToLeft="1" zoomScale="90" zoomScaleNormal="90" workbookViewId="0">
      <selection activeCell="H2" sqref="E1:H1048576"/>
    </sheetView>
  </sheetViews>
  <sheetFormatPr defaultRowHeight="18"/>
  <cols>
    <col min="1" max="1" width="5" style="20" customWidth="1"/>
    <col min="2" max="2" width="7.1640625" style="20" customWidth="1"/>
    <col min="3" max="3" width="5.4140625" style="20" customWidth="1"/>
    <col min="4" max="4" width="8.1640625" style="20" bestFit="1" customWidth="1"/>
    <col min="5" max="5" width="8.1640625" style="20" hidden="1" customWidth="1"/>
    <col min="6" max="6" width="9" style="20" hidden="1" customWidth="1"/>
    <col min="7" max="7" width="8" style="20" hidden="1" customWidth="1"/>
    <col min="8" max="8" width="9.33203125" style="20" hidden="1" customWidth="1"/>
    <col min="9" max="9" width="6" style="20" bestFit="1" customWidth="1"/>
    <col min="10" max="10" width="6.58203125" style="20" bestFit="1" customWidth="1"/>
    <col min="11" max="11" width="9.33203125" style="20" bestFit="1" customWidth="1"/>
    <col min="12" max="12" width="7.9140625" style="20" bestFit="1" customWidth="1"/>
    <col min="13" max="13" width="9.83203125" style="20" bestFit="1" customWidth="1"/>
    <col min="14" max="14" width="8.83203125" customWidth="1"/>
    <col min="15" max="15" width="13.58203125" customWidth="1"/>
  </cols>
  <sheetData>
    <row r="1" spans="1:15" ht="42.75" customHeight="1">
      <c r="A1" s="244" t="s">
        <v>699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</row>
    <row r="2" spans="1:15" ht="43.5" customHeight="1">
      <c r="A2" s="47" t="s">
        <v>41</v>
      </c>
      <c r="B2" s="29" t="s">
        <v>40</v>
      </c>
      <c r="C2" s="29" t="s">
        <v>38</v>
      </c>
      <c r="D2" s="29" t="s">
        <v>42</v>
      </c>
      <c r="E2" s="29" t="s">
        <v>268</v>
      </c>
      <c r="F2" s="29" t="s">
        <v>506</v>
      </c>
      <c r="G2" s="29" t="s">
        <v>508</v>
      </c>
      <c r="H2" s="29" t="s">
        <v>489</v>
      </c>
      <c r="I2" s="29" t="s">
        <v>46</v>
      </c>
      <c r="J2" s="29" t="s">
        <v>39</v>
      </c>
      <c r="K2" s="109" t="s">
        <v>347</v>
      </c>
      <c r="L2" s="30" t="s">
        <v>417</v>
      </c>
      <c r="M2" s="30" t="s">
        <v>50</v>
      </c>
      <c r="N2" s="105" t="s">
        <v>45</v>
      </c>
      <c r="O2" s="105" t="s">
        <v>498</v>
      </c>
    </row>
    <row r="3" spans="1:15">
      <c r="A3" s="25">
        <v>1</v>
      </c>
      <c r="B3" s="25" t="s">
        <v>686</v>
      </c>
      <c r="C3" s="26"/>
      <c r="D3" s="27" t="s">
        <v>497</v>
      </c>
      <c r="E3" s="26" t="s">
        <v>684</v>
      </c>
      <c r="F3" s="26"/>
      <c r="G3" s="26"/>
      <c r="H3" s="40"/>
      <c r="I3" s="54" t="s">
        <v>829</v>
      </c>
      <c r="J3" s="28" t="s">
        <v>685</v>
      </c>
      <c r="K3" s="26">
        <v>30000</v>
      </c>
      <c r="L3" s="26">
        <v>1000</v>
      </c>
      <c r="M3" s="26">
        <v>500</v>
      </c>
      <c r="N3" s="118"/>
      <c r="O3" s="118">
        <f>Table178[[#This Row],[پیشکي]]-Table178[[#This Row],[د ۵۰ ٪ کرایی درکه]]</f>
        <v>29500</v>
      </c>
    </row>
    <row r="4" spans="1:15">
      <c r="A4" s="25">
        <v>2</v>
      </c>
      <c r="B4" s="25" t="s">
        <v>687</v>
      </c>
      <c r="C4" s="26"/>
      <c r="D4" s="26" t="s">
        <v>691</v>
      </c>
      <c r="E4" s="26" t="s">
        <v>692</v>
      </c>
      <c r="F4" s="26" t="s">
        <v>693</v>
      </c>
      <c r="G4" s="26" t="s">
        <v>541</v>
      </c>
      <c r="H4" s="26">
        <v>77254</v>
      </c>
      <c r="I4" s="54" t="s">
        <v>829</v>
      </c>
      <c r="J4" s="26" t="s">
        <v>685</v>
      </c>
      <c r="K4" s="26">
        <v>50000</v>
      </c>
      <c r="L4" s="26">
        <v>1000</v>
      </c>
      <c r="M4" s="26">
        <v>500</v>
      </c>
      <c r="N4" s="26"/>
      <c r="O4" s="26">
        <f>Table178[[#This Row],[پیشکي]]-Table178[[#This Row],[د ۵۰ ٪ کرایی درکه]]</f>
        <v>49500</v>
      </c>
    </row>
    <row r="5" spans="1:15">
      <c r="A5" s="25">
        <v>3</v>
      </c>
      <c r="B5" s="25" t="s">
        <v>688</v>
      </c>
      <c r="C5" s="26"/>
      <c r="D5" s="26" t="s">
        <v>682</v>
      </c>
      <c r="E5" s="26" t="s">
        <v>683</v>
      </c>
      <c r="F5" s="26" t="s">
        <v>536</v>
      </c>
      <c r="G5" s="26" t="s">
        <v>541</v>
      </c>
      <c r="H5" s="26">
        <v>18924760</v>
      </c>
      <c r="I5" s="54" t="s">
        <v>829</v>
      </c>
      <c r="J5" s="26" t="s">
        <v>685</v>
      </c>
      <c r="K5" s="26">
        <v>0</v>
      </c>
      <c r="L5" s="26">
        <v>1000</v>
      </c>
      <c r="M5" s="26">
        <v>0</v>
      </c>
      <c r="N5" s="26"/>
      <c r="O5" s="26">
        <f>Table178[[#This Row],[پیشکي]]-Table178[[#This Row],[د ۵۰ ٪ کرایی درکه]]</f>
        <v>0</v>
      </c>
    </row>
    <row r="6" spans="1:15">
      <c r="A6" s="25">
        <v>4</v>
      </c>
      <c r="B6" s="25" t="s">
        <v>689</v>
      </c>
      <c r="C6" s="26"/>
      <c r="D6" s="26" t="s">
        <v>458</v>
      </c>
      <c r="E6" s="26"/>
      <c r="F6" s="40">
        <v>0</v>
      </c>
      <c r="G6" s="26" t="s">
        <v>541</v>
      </c>
      <c r="H6" s="26"/>
      <c r="I6" s="54" t="s">
        <v>829</v>
      </c>
      <c r="J6" s="26" t="s">
        <v>685</v>
      </c>
      <c r="K6" s="26">
        <v>50000</v>
      </c>
      <c r="L6" s="26">
        <v>1000</v>
      </c>
      <c r="M6" s="26">
        <f>Table178[[#This Row],[میاشتنی کرایه]]/2</f>
        <v>500</v>
      </c>
      <c r="N6" s="26"/>
      <c r="O6" s="26">
        <f>Table178[[#This Row],[پیشکي]]-Table178[[#This Row],[د ۵۰ ٪ کرایی درکه]]</f>
        <v>49500</v>
      </c>
    </row>
    <row r="7" spans="1:15">
      <c r="A7" s="25">
        <v>5</v>
      </c>
      <c r="B7" s="25" t="s">
        <v>690</v>
      </c>
      <c r="C7" s="26"/>
      <c r="D7" s="26" t="s">
        <v>694</v>
      </c>
      <c r="E7" s="26"/>
      <c r="F7" s="40">
        <v>0</v>
      </c>
      <c r="G7" s="26" t="s">
        <v>541</v>
      </c>
      <c r="H7" s="26"/>
      <c r="I7" s="54" t="s">
        <v>829</v>
      </c>
      <c r="J7" s="26" t="s">
        <v>685</v>
      </c>
      <c r="K7" s="26">
        <v>0</v>
      </c>
      <c r="L7" s="26">
        <v>1000</v>
      </c>
      <c r="M7" s="26">
        <v>0</v>
      </c>
      <c r="N7" s="26"/>
      <c r="O7" s="26">
        <f>Table178[[#This Row],[پیشکي]]-Table178[[#This Row],[د ۵۰ ٪ کرایی درکه]]</f>
        <v>0</v>
      </c>
    </row>
    <row r="8" spans="1:15">
      <c r="A8" s="25">
        <v>6</v>
      </c>
      <c r="B8" s="25" t="s">
        <v>760</v>
      </c>
      <c r="C8" s="26"/>
      <c r="D8" s="26" t="s">
        <v>761</v>
      </c>
      <c r="E8" s="26"/>
      <c r="F8" s="26"/>
      <c r="G8" s="26" t="s">
        <v>541</v>
      </c>
      <c r="H8" s="26"/>
      <c r="I8" s="54" t="s">
        <v>829</v>
      </c>
      <c r="J8" s="26" t="s">
        <v>685</v>
      </c>
      <c r="K8" s="26"/>
      <c r="L8" s="26">
        <v>1000</v>
      </c>
      <c r="M8" s="26">
        <v>0</v>
      </c>
      <c r="N8" s="26"/>
      <c r="O8" s="26">
        <f>Table178[[#This Row],[پیشکي]]-Table178[[#This Row],[د ۵۰ ٪ کرایی درکه]]</f>
        <v>0</v>
      </c>
    </row>
    <row r="9" spans="1:15" s="166" customFormat="1">
      <c r="A9" s="160">
        <v>7</v>
      </c>
      <c r="B9" s="160" t="s">
        <v>764</v>
      </c>
      <c r="C9" s="161"/>
      <c r="D9" s="161" t="s">
        <v>765</v>
      </c>
      <c r="E9" s="161"/>
      <c r="F9" s="161"/>
      <c r="G9" s="161" t="s">
        <v>541</v>
      </c>
      <c r="H9" s="161"/>
      <c r="I9" s="54" t="s">
        <v>829</v>
      </c>
      <c r="J9" s="161" t="s">
        <v>767</v>
      </c>
      <c r="K9" s="162">
        <v>0</v>
      </c>
      <c r="L9" s="161">
        <v>0</v>
      </c>
      <c r="M9" s="161">
        <v>0</v>
      </c>
      <c r="N9" s="161"/>
      <c r="O9" s="235">
        <f>Table178[[#This Row],[پیشکي]]-Table178[[#This Row],[د ۵۰ ٪ کرایی درکه]]</f>
        <v>0</v>
      </c>
    </row>
    <row r="10" spans="1:15" s="166" customFormat="1">
      <c r="A10" s="160">
        <v>8</v>
      </c>
      <c r="B10" s="160" t="s">
        <v>768</v>
      </c>
      <c r="C10" s="161"/>
      <c r="D10" s="161" t="s">
        <v>765</v>
      </c>
      <c r="E10" s="161"/>
      <c r="F10" s="161"/>
      <c r="G10" s="161" t="s">
        <v>541</v>
      </c>
      <c r="H10" s="161"/>
      <c r="I10" s="54" t="s">
        <v>829</v>
      </c>
      <c r="J10" s="161" t="s">
        <v>767</v>
      </c>
      <c r="K10" s="162">
        <v>0</v>
      </c>
      <c r="L10" s="161">
        <v>0</v>
      </c>
      <c r="M10" s="161">
        <v>0</v>
      </c>
      <c r="N10" s="161"/>
      <c r="O10" s="235">
        <f>Table178[[#This Row],[پیشکي]]-Table178[[#This Row],[د ۵۰ ٪ کرایی درکه]]</f>
        <v>0</v>
      </c>
    </row>
    <row r="11" spans="1:15" s="166" customFormat="1">
      <c r="A11" s="160">
        <v>9</v>
      </c>
      <c r="B11" s="160" t="s">
        <v>769</v>
      </c>
      <c r="C11" s="161"/>
      <c r="D11" s="161" t="s">
        <v>770</v>
      </c>
      <c r="E11" s="161"/>
      <c r="F11" s="161"/>
      <c r="G11" s="161" t="s">
        <v>541</v>
      </c>
      <c r="H11" s="161"/>
      <c r="I11" s="54" t="s">
        <v>829</v>
      </c>
      <c r="J11" s="161" t="s">
        <v>767</v>
      </c>
      <c r="K11" s="162">
        <v>0</v>
      </c>
      <c r="L11" s="161">
        <v>0</v>
      </c>
      <c r="M11" s="161">
        <v>0</v>
      </c>
      <c r="N11" s="161"/>
      <c r="O11" s="235">
        <f>Table178[[#This Row],[پیشکي]]-Table178[[#This Row],[د ۵۰ ٪ کرایی درکه]]</f>
        <v>0</v>
      </c>
    </row>
    <row r="12" spans="1:15" s="166" customFormat="1">
      <c r="A12" s="160">
        <v>10</v>
      </c>
      <c r="B12" s="160" t="s">
        <v>771</v>
      </c>
      <c r="C12" s="161"/>
      <c r="D12" s="161" t="s">
        <v>770</v>
      </c>
      <c r="E12" s="236" t="s">
        <v>822</v>
      </c>
      <c r="F12" s="161"/>
      <c r="G12" s="161" t="s">
        <v>541</v>
      </c>
      <c r="H12" s="161"/>
      <c r="I12" s="54" t="s">
        <v>829</v>
      </c>
      <c r="J12" s="161" t="s">
        <v>767</v>
      </c>
      <c r="K12" s="162">
        <v>0</v>
      </c>
      <c r="L12" s="161">
        <v>0</v>
      </c>
      <c r="M12" s="161">
        <v>0</v>
      </c>
      <c r="N12" s="161"/>
      <c r="O12" s="235">
        <f>Table178[[#This Row],[پیشکي]]-Table178[[#This Row],[د ۵۰ ٪ کرایی درکه]]</f>
        <v>0</v>
      </c>
    </row>
    <row r="13" spans="1:15" s="166" customFormat="1">
      <c r="A13" s="160">
        <v>11</v>
      </c>
      <c r="B13" s="160" t="s">
        <v>772</v>
      </c>
      <c r="C13" s="161"/>
      <c r="D13" s="161" t="s">
        <v>773</v>
      </c>
      <c r="E13" s="161"/>
      <c r="F13" s="161"/>
      <c r="G13" s="161" t="s">
        <v>541</v>
      </c>
      <c r="H13" s="161"/>
      <c r="I13" s="54" t="s">
        <v>829</v>
      </c>
      <c r="J13" s="161" t="s">
        <v>767</v>
      </c>
      <c r="K13" s="235">
        <v>10000</v>
      </c>
      <c r="L13" s="161">
        <v>0</v>
      </c>
      <c r="M13" s="161">
        <f>Table178[[#This Row],[میاشتنی کرایه]]/2</f>
        <v>0</v>
      </c>
      <c r="N13" s="161"/>
      <c r="O13" s="235">
        <f>Table178[[#This Row],[پیشکي]]-Table178[[#This Row],[د ۵۰ ٪ کرایی درکه]]</f>
        <v>10000</v>
      </c>
    </row>
    <row r="14" spans="1:15" s="166" customFormat="1">
      <c r="A14" s="160">
        <v>12</v>
      </c>
      <c r="B14" s="160" t="s">
        <v>774</v>
      </c>
      <c r="C14" s="161"/>
      <c r="D14" s="161" t="s">
        <v>773</v>
      </c>
      <c r="E14" s="161"/>
      <c r="F14" s="161"/>
      <c r="G14" s="161" t="s">
        <v>541</v>
      </c>
      <c r="H14" s="161"/>
      <c r="I14" s="54" t="s">
        <v>829</v>
      </c>
      <c r="J14" s="161" t="s">
        <v>767</v>
      </c>
      <c r="K14" s="235">
        <v>10000</v>
      </c>
      <c r="L14" s="161">
        <v>0</v>
      </c>
      <c r="M14" s="161">
        <f>Table178[[#This Row],[میاشتنی کرایه]]/2</f>
        <v>0</v>
      </c>
      <c r="N14" s="161"/>
      <c r="O14" s="235">
        <f>Table178[[#This Row],[پیشکي]]-Table178[[#This Row],[د ۵۰ ٪ کرایی درکه]]</f>
        <v>10000</v>
      </c>
    </row>
    <row r="15" spans="1:15" s="166" customFormat="1">
      <c r="A15" s="160">
        <v>13</v>
      </c>
      <c r="B15" s="160" t="s">
        <v>775</v>
      </c>
      <c r="C15" s="161"/>
      <c r="D15" s="161" t="s">
        <v>409</v>
      </c>
      <c r="E15" s="161"/>
      <c r="F15" s="161"/>
      <c r="G15" s="161" t="s">
        <v>541</v>
      </c>
      <c r="H15" s="161"/>
      <c r="I15" s="54" t="s">
        <v>829</v>
      </c>
      <c r="J15" s="161" t="s">
        <v>767</v>
      </c>
      <c r="K15" s="162">
        <v>0</v>
      </c>
      <c r="L15" s="161">
        <v>0</v>
      </c>
      <c r="M15" s="161">
        <v>0</v>
      </c>
      <c r="N15" s="161"/>
      <c r="O15" s="235">
        <f>Table178[[#This Row],[پیشکي]]-Table178[[#This Row],[د ۵۰ ٪ کرایی درکه]]</f>
        <v>0</v>
      </c>
    </row>
    <row r="16" spans="1:15" s="166" customFormat="1">
      <c r="A16" s="160">
        <v>14</v>
      </c>
      <c r="B16" s="160" t="s">
        <v>776</v>
      </c>
      <c r="C16" s="161"/>
      <c r="D16" s="161" t="s">
        <v>777</v>
      </c>
      <c r="E16" s="161"/>
      <c r="F16" s="161"/>
      <c r="G16" s="161" t="s">
        <v>541</v>
      </c>
      <c r="H16" s="161"/>
      <c r="I16" s="54" t="s">
        <v>829</v>
      </c>
      <c r="J16" s="161" t="s">
        <v>767</v>
      </c>
      <c r="K16" s="162">
        <v>0</v>
      </c>
      <c r="L16" s="161">
        <v>0</v>
      </c>
      <c r="M16" s="161">
        <v>0</v>
      </c>
      <c r="N16" s="161"/>
      <c r="O16" s="235">
        <f>Table178[[#This Row],[پیشکي]]-Table178[[#This Row],[د ۵۰ ٪ کرایی درکه]]</f>
        <v>0</v>
      </c>
    </row>
    <row r="17" spans="1:15">
      <c r="A17" s="25">
        <v>15</v>
      </c>
      <c r="B17" s="70" t="s">
        <v>778</v>
      </c>
      <c r="C17" s="60"/>
      <c r="D17" s="60" t="s">
        <v>779</v>
      </c>
      <c r="E17" s="60"/>
      <c r="F17" s="60"/>
      <c r="G17" s="71" t="s">
        <v>541</v>
      </c>
      <c r="H17" s="60"/>
      <c r="I17" s="54" t="s">
        <v>829</v>
      </c>
      <c r="J17" s="71" t="s">
        <v>767</v>
      </c>
      <c r="K17" s="218">
        <v>15000</v>
      </c>
      <c r="L17" s="60">
        <v>500</v>
      </c>
      <c r="M17" s="71">
        <f>Table178[[#This Row],[میاشتنی کرایه]]/2</f>
        <v>250</v>
      </c>
      <c r="N17" s="60"/>
      <c r="O17" s="218">
        <f>Table178[[#This Row],[پیشکي]]-Table178[[#This Row],[د ۵۰ ٪ کرایی درکه]]</f>
        <v>14750</v>
      </c>
    </row>
    <row r="18" spans="1:15">
      <c r="A18" s="25">
        <v>16</v>
      </c>
      <c r="B18" s="70" t="s">
        <v>780</v>
      </c>
      <c r="C18" s="60"/>
      <c r="D18" s="60" t="s">
        <v>779</v>
      </c>
      <c r="E18" s="60" t="s">
        <v>781</v>
      </c>
      <c r="F18" s="60"/>
      <c r="G18" s="71" t="s">
        <v>541</v>
      </c>
      <c r="H18" s="60"/>
      <c r="I18" s="54" t="s">
        <v>829</v>
      </c>
      <c r="J18" s="71" t="s">
        <v>767</v>
      </c>
      <c r="K18" s="218">
        <v>15000</v>
      </c>
      <c r="L18" s="60">
        <v>500</v>
      </c>
      <c r="M18" s="71">
        <f>Table178[[#This Row],[میاشتنی کرایه]]/2</f>
        <v>250</v>
      </c>
      <c r="N18" s="60"/>
      <c r="O18" s="218">
        <f>Table178[[#This Row],[پیشکي]]-Table178[[#This Row],[د ۵۰ ٪ کرایی درکه]]</f>
        <v>14750</v>
      </c>
    </row>
    <row r="19" spans="1:15">
      <c r="A19" s="25">
        <v>17</v>
      </c>
      <c r="B19" s="70" t="s">
        <v>782</v>
      </c>
      <c r="C19" s="60"/>
      <c r="D19" s="60" t="s">
        <v>325</v>
      </c>
      <c r="E19" s="60"/>
      <c r="F19" s="60"/>
      <c r="G19" s="71" t="s">
        <v>541</v>
      </c>
      <c r="H19" s="60"/>
      <c r="I19" s="54" t="s">
        <v>829</v>
      </c>
      <c r="J19" s="71" t="s">
        <v>767</v>
      </c>
      <c r="K19" s="218">
        <v>0</v>
      </c>
      <c r="L19" s="60">
        <v>500</v>
      </c>
      <c r="M19" s="71">
        <v>0</v>
      </c>
      <c r="N19" s="60"/>
      <c r="O19" s="218">
        <f>Table178[[#This Row],[پیشکي]]-Table178[[#This Row],[د ۵۰ ٪ کرایی درکه]]</f>
        <v>0</v>
      </c>
    </row>
    <row r="20" spans="1:15">
      <c r="A20" s="25">
        <v>18</v>
      </c>
      <c r="B20" s="70" t="s">
        <v>783</v>
      </c>
      <c r="C20" s="60"/>
      <c r="D20" s="60" t="s">
        <v>784</v>
      </c>
      <c r="E20" s="60"/>
      <c r="F20" s="60"/>
      <c r="G20" s="71" t="s">
        <v>541</v>
      </c>
      <c r="H20" s="60"/>
      <c r="I20" s="54" t="s">
        <v>829</v>
      </c>
      <c r="J20" s="71" t="s">
        <v>767</v>
      </c>
      <c r="K20" s="218">
        <v>0</v>
      </c>
      <c r="L20" s="60">
        <v>500</v>
      </c>
      <c r="M20" s="71">
        <v>0</v>
      </c>
      <c r="N20" s="60"/>
      <c r="O20" s="218">
        <f>Table178[[#This Row],[پیشکي]]-Table178[[#This Row],[د ۵۰ ٪ کرایی درکه]]</f>
        <v>0</v>
      </c>
    </row>
    <row r="21" spans="1:15">
      <c r="A21" s="25">
        <v>19</v>
      </c>
      <c r="B21" s="70" t="s">
        <v>785</v>
      </c>
      <c r="C21" s="60"/>
      <c r="D21" s="60" t="s">
        <v>453</v>
      </c>
      <c r="E21" s="60"/>
      <c r="F21" s="60"/>
      <c r="G21" s="71" t="s">
        <v>541</v>
      </c>
      <c r="H21" s="60"/>
      <c r="I21" s="54" t="s">
        <v>829</v>
      </c>
      <c r="J21" s="71" t="s">
        <v>767</v>
      </c>
      <c r="K21" s="218">
        <v>20000</v>
      </c>
      <c r="L21" s="60">
        <v>500</v>
      </c>
      <c r="M21" s="71">
        <f>Table178[[#This Row],[میاشتنی کرایه]]/2</f>
        <v>250</v>
      </c>
      <c r="N21" s="60"/>
      <c r="O21" s="218">
        <f>Table178[[#This Row],[پیشکي]]-Table178[[#This Row],[د ۵۰ ٪ کرایی درکه]]</f>
        <v>19750</v>
      </c>
    </row>
    <row r="22" spans="1:15">
      <c r="A22" s="25">
        <v>20</v>
      </c>
      <c r="B22" s="70" t="s">
        <v>786</v>
      </c>
      <c r="C22" s="60"/>
      <c r="D22" s="60" t="s">
        <v>453</v>
      </c>
      <c r="E22" s="60"/>
      <c r="F22" s="60"/>
      <c r="G22" s="71" t="s">
        <v>541</v>
      </c>
      <c r="H22" s="60"/>
      <c r="I22" s="54" t="s">
        <v>829</v>
      </c>
      <c r="J22" s="71" t="s">
        <v>767</v>
      </c>
      <c r="K22" s="218">
        <v>20000</v>
      </c>
      <c r="L22" s="60">
        <v>500</v>
      </c>
      <c r="M22" s="71">
        <f>Table178[[#This Row],[میاشتنی کرایه]]/2</f>
        <v>250</v>
      </c>
      <c r="N22" s="60"/>
      <c r="O22" s="218">
        <f>Table178[[#This Row],[پیشکي]]-Table178[[#This Row],[د ۵۰ ٪ کرایی درکه]]</f>
        <v>19750</v>
      </c>
    </row>
    <row r="23" spans="1:15">
      <c r="A23" s="25">
        <v>21</v>
      </c>
      <c r="B23" s="70" t="s">
        <v>787</v>
      </c>
      <c r="C23" s="60"/>
      <c r="D23" s="60" t="s">
        <v>341</v>
      </c>
      <c r="E23" s="60"/>
      <c r="F23" s="60"/>
      <c r="G23" s="71" t="s">
        <v>541</v>
      </c>
      <c r="H23" s="60"/>
      <c r="I23" s="54" t="s">
        <v>829</v>
      </c>
      <c r="J23" s="71" t="s">
        <v>767</v>
      </c>
      <c r="K23" s="218">
        <v>0</v>
      </c>
      <c r="L23" s="60">
        <v>500</v>
      </c>
      <c r="M23" s="71">
        <v>0</v>
      </c>
      <c r="N23" s="60"/>
      <c r="O23" s="218">
        <f>Table178[[#This Row],[پیشکي]]-Table178[[#This Row],[د ۵۰ ٪ کرایی درکه]]</f>
        <v>0</v>
      </c>
    </row>
    <row r="24" spans="1:15">
      <c r="A24" s="25">
        <v>22</v>
      </c>
      <c r="B24" s="70" t="s">
        <v>788</v>
      </c>
      <c r="C24" s="60"/>
      <c r="D24" s="60" t="s">
        <v>789</v>
      </c>
      <c r="E24" s="60"/>
      <c r="F24" s="60"/>
      <c r="G24" s="71" t="s">
        <v>541</v>
      </c>
      <c r="H24" s="60"/>
      <c r="I24" s="54" t="s">
        <v>829</v>
      </c>
      <c r="J24" s="71" t="s">
        <v>767</v>
      </c>
      <c r="K24" s="218">
        <v>40000</v>
      </c>
      <c r="L24" s="60">
        <v>500</v>
      </c>
      <c r="M24" s="71">
        <f>Table178[[#This Row],[میاشتنی کرایه]]/2</f>
        <v>250</v>
      </c>
      <c r="N24" s="60"/>
      <c r="O24" s="218">
        <f>Table178[[#This Row],[پیشکي]]-Table178[[#This Row],[د ۵۰ ٪ کرایی درکه]]</f>
        <v>39750</v>
      </c>
    </row>
    <row r="25" spans="1:15">
      <c r="A25" s="25">
        <v>23</v>
      </c>
      <c r="B25" s="219" t="s">
        <v>790</v>
      </c>
      <c r="C25" s="220"/>
      <c r="D25" s="220" t="s">
        <v>464</v>
      </c>
      <c r="E25" s="220"/>
      <c r="F25" s="220"/>
      <c r="G25" s="71" t="s">
        <v>541</v>
      </c>
      <c r="H25" s="60"/>
      <c r="I25" s="54" t="s">
        <v>829</v>
      </c>
      <c r="J25" s="71" t="s">
        <v>767</v>
      </c>
      <c r="K25" s="218">
        <v>25000</v>
      </c>
      <c r="L25" s="60">
        <v>500</v>
      </c>
      <c r="M25" s="71">
        <f>Table178[[#This Row],[میاشتنی کرایه]]/2</f>
        <v>250</v>
      </c>
      <c r="N25" s="220"/>
      <c r="O25" s="221">
        <f>Table178[[#This Row],[پیشکي]]-Table178[[#This Row],[د ۵۰ ٪ کرایی درکه]]</f>
        <v>24750</v>
      </c>
    </row>
    <row r="26" spans="1:15">
      <c r="A26" s="25">
        <v>24</v>
      </c>
      <c r="B26" s="219" t="s">
        <v>791</v>
      </c>
      <c r="C26" s="220"/>
      <c r="D26" s="220" t="s">
        <v>464</v>
      </c>
      <c r="E26" s="220"/>
      <c r="F26" s="220"/>
      <c r="G26" s="71" t="s">
        <v>541</v>
      </c>
      <c r="H26" s="60"/>
      <c r="I26" s="54" t="s">
        <v>829</v>
      </c>
      <c r="J26" s="71" t="s">
        <v>767</v>
      </c>
      <c r="K26" s="218">
        <v>25000</v>
      </c>
      <c r="L26" s="60">
        <v>500</v>
      </c>
      <c r="M26" s="71">
        <f>Table178[[#This Row],[میاشتنی کرایه]]/2</f>
        <v>250</v>
      </c>
      <c r="N26" s="220"/>
      <c r="O26" s="221">
        <f>Table178[[#This Row],[پیشکي]]-Table178[[#This Row],[د ۵۰ ٪ کرایی درکه]]</f>
        <v>24750</v>
      </c>
    </row>
    <row r="27" spans="1:15">
      <c r="A27" s="25">
        <v>25</v>
      </c>
      <c r="B27" s="219" t="s">
        <v>792</v>
      </c>
      <c r="C27" s="220"/>
      <c r="D27" s="220" t="s">
        <v>814</v>
      </c>
      <c r="E27" s="220"/>
      <c r="F27" s="220"/>
      <c r="G27" s="71" t="s">
        <v>541</v>
      </c>
      <c r="H27" s="60"/>
      <c r="I27" s="54" t="s">
        <v>829</v>
      </c>
      <c r="J27" s="71" t="s">
        <v>767</v>
      </c>
      <c r="K27" s="218">
        <v>0</v>
      </c>
      <c r="L27" s="60">
        <v>500</v>
      </c>
      <c r="M27" s="71">
        <v>0</v>
      </c>
      <c r="N27" s="220"/>
      <c r="O27" s="221">
        <f>Table178[[#This Row],[پیشکي]]-Table178[[#This Row],[د ۵۰ ٪ کرایی درکه]]</f>
        <v>0</v>
      </c>
    </row>
    <row r="28" spans="1:15">
      <c r="A28" s="25">
        <v>26</v>
      </c>
      <c r="B28" s="219" t="s">
        <v>793</v>
      </c>
      <c r="C28" s="220"/>
      <c r="D28" s="220" t="s">
        <v>814</v>
      </c>
      <c r="E28" s="220"/>
      <c r="F28" s="220"/>
      <c r="G28" s="71" t="s">
        <v>541</v>
      </c>
      <c r="H28" s="60"/>
      <c r="I28" s="54" t="s">
        <v>829</v>
      </c>
      <c r="J28" s="71" t="s">
        <v>767</v>
      </c>
      <c r="K28" s="218">
        <v>0</v>
      </c>
      <c r="L28" s="60">
        <v>500</v>
      </c>
      <c r="M28" s="71">
        <v>0</v>
      </c>
      <c r="N28" s="220"/>
      <c r="O28" s="221">
        <f>Table178[[#This Row],[پیشکي]]-Table178[[#This Row],[د ۵۰ ٪ کرایی درکه]]</f>
        <v>0</v>
      </c>
    </row>
    <row r="29" spans="1:15">
      <c r="A29" s="25">
        <v>27</v>
      </c>
      <c r="B29" s="219" t="s">
        <v>794</v>
      </c>
      <c r="C29" s="220"/>
      <c r="D29" s="220" t="s">
        <v>469</v>
      </c>
      <c r="E29" s="220"/>
      <c r="F29" s="220"/>
      <c r="G29" s="71" t="s">
        <v>541</v>
      </c>
      <c r="H29" s="60"/>
      <c r="I29" s="54" t="s">
        <v>829</v>
      </c>
      <c r="J29" s="71" t="s">
        <v>767</v>
      </c>
      <c r="K29" s="218">
        <v>0</v>
      </c>
      <c r="L29" s="60">
        <v>500</v>
      </c>
      <c r="M29" s="71">
        <v>0</v>
      </c>
      <c r="N29" s="220"/>
      <c r="O29" s="221">
        <f>Table178[[#This Row],[پیشکي]]-Table178[[#This Row],[د ۵۰ ٪ کرایی درکه]]</f>
        <v>0</v>
      </c>
    </row>
    <row r="30" spans="1:15">
      <c r="A30" s="25">
        <v>28</v>
      </c>
      <c r="B30" s="219" t="s">
        <v>795</v>
      </c>
      <c r="C30" s="220"/>
      <c r="D30" s="220" t="s">
        <v>469</v>
      </c>
      <c r="E30" s="220"/>
      <c r="F30" s="220"/>
      <c r="G30" s="71" t="s">
        <v>541</v>
      </c>
      <c r="H30" s="60"/>
      <c r="I30" s="54" t="s">
        <v>829</v>
      </c>
      <c r="J30" s="71" t="s">
        <v>767</v>
      </c>
      <c r="K30" s="218">
        <v>0</v>
      </c>
      <c r="L30" s="60">
        <v>500</v>
      </c>
      <c r="M30" s="71">
        <v>0</v>
      </c>
      <c r="N30" s="220"/>
      <c r="O30" s="221">
        <f>Table178[[#This Row],[پیشکي]]-Table178[[#This Row],[د ۵۰ ٪ کرایی درکه]]</f>
        <v>0</v>
      </c>
    </row>
    <row r="31" spans="1:15">
      <c r="A31" s="25">
        <v>29</v>
      </c>
      <c r="B31" s="219" t="s">
        <v>796</v>
      </c>
      <c r="C31" s="220"/>
      <c r="D31" s="220" t="s">
        <v>469</v>
      </c>
      <c r="E31" s="220"/>
      <c r="F31" s="220"/>
      <c r="G31" s="71" t="s">
        <v>541</v>
      </c>
      <c r="H31" s="60"/>
      <c r="I31" s="54" t="s">
        <v>829</v>
      </c>
      <c r="J31" s="71" t="s">
        <v>767</v>
      </c>
      <c r="K31" s="218">
        <v>0</v>
      </c>
      <c r="L31" s="60">
        <v>500</v>
      </c>
      <c r="M31" s="71">
        <v>0</v>
      </c>
      <c r="N31" s="220"/>
      <c r="O31" s="221">
        <f>Table178[[#This Row],[پیشکي]]-Table178[[#This Row],[د ۵۰ ٪ کرایی درکه]]</f>
        <v>0</v>
      </c>
    </row>
    <row r="32" spans="1:15">
      <c r="A32" s="25">
        <v>30</v>
      </c>
      <c r="B32" s="219" t="s">
        <v>797</v>
      </c>
      <c r="C32" s="220"/>
      <c r="D32" s="220" t="s">
        <v>798</v>
      </c>
      <c r="E32" s="220"/>
      <c r="F32" s="220"/>
      <c r="G32" s="71" t="s">
        <v>541</v>
      </c>
      <c r="H32" s="60"/>
      <c r="I32" s="54" t="s">
        <v>829</v>
      </c>
      <c r="J32" s="71" t="s">
        <v>767</v>
      </c>
      <c r="K32" s="218">
        <v>0</v>
      </c>
      <c r="L32" s="60">
        <v>500</v>
      </c>
      <c r="M32" s="71">
        <v>0</v>
      </c>
      <c r="N32" s="220"/>
      <c r="O32" s="221">
        <f>Table178[[#This Row],[پیشکي]]-Table178[[#This Row],[د ۵۰ ٪ کرایی درکه]]</f>
        <v>0</v>
      </c>
    </row>
    <row r="33" spans="1:15" s="166" customFormat="1">
      <c r="A33" s="160">
        <v>31</v>
      </c>
      <c r="B33" s="160" t="s">
        <v>799</v>
      </c>
      <c r="C33" s="161"/>
      <c r="D33" s="161" t="s">
        <v>800</v>
      </c>
      <c r="E33" s="161"/>
      <c r="F33" s="161"/>
      <c r="G33" s="161" t="s">
        <v>541</v>
      </c>
      <c r="H33" s="161"/>
      <c r="I33" s="54" t="s">
        <v>829</v>
      </c>
      <c r="J33" s="161" t="s">
        <v>767</v>
      </c>
      <c r="K33" s="235">
        <v>0</v>
      </c>
      <c r="L33" s="161">
        <v>250</v>
      </c>
      <c r="M33" s="161">
        <v>250</v>
      </c>
      <c r="N33" s="161" t="s">
        <v>827</v>
      </c>
      <c r="O33" s="235"/>
    </row>
    <row r="34" spans="1:15" s="166" customFormat="1">
      <c r="A34" s="160">
        <v>32</v>
      </c>
      <c r="B34" s="160" t="s">
        <v>801</v>
      </c>
      <c r="C34" s="161"/>
      <c r="D34" s="161" t="s">
        <v>800</v>
      </c>
      <c r="E34" s="161"/>
      <c r="F34" s="161"/>
      <c r="G34" s="161" t="s">
        <v>541</v>
      </c>
      <c r="H34" s="161"/>
      <c r="I34" s="54" t="s">
        <v>829</v>
      </c>
      <c r="J34" s="161" t="s">
        <v>767</v>
      </c>
      <c r="K34" s="235">
        <v>0</v>
      </c>
      <c r="L34" s="161">
        <v>250</v>
      </c>
      <c r="M34" s="161">
        <v>250</v>
      </c>
      <c r="N34" s="161" t="s">
        <v>827</v>
      </c>
      <c r="O34" s="235"/>
    </row>
    <row r="35" spans="1:15" s="166" customFormat="1">
      <c r="A35" s="160">
        <v>33</v>
      </c>
      <c r="B35" s="160" t="s">
        <v>802</v>
      </c>
      <c r="C35" s="161"/>
      <c r="D35" s="161" t="s">
        <v>800</v>
      </c>
      <c r="E35" s="161"/>
      <c r="F35" s="161"/>
      <c r="G35" s="161" t="s">
        <v>541</v>
      </c>
      <c r="H35" s="161"/>
      <c r="I35" s="54" t="s">
        <v>829</v>
      </c>
      <c r="J35" s="161" t="s">
        <v>767</v>
      </c>
      <c r="K35" s="235">
        <v>0</v>
      </c>
      <c r="L35" s="161">
        <v>250</v>
      </c>
      <c r="M35" s="161">
        <v>250</v>
      </c>
      <c r="N35" s="161" t="s">
        <v>827</v>
      </c>
      <c r="O35" s="235"/>
    </row>
    <row r="36" spans="1:15" s="166" customFormat="1">
      <c r="A36" s="160">
        <v>34</v>
      </c>
      <c r="B36" s="160" t="s">
        <v>803</v>
      </c>
      <c r="C36" s="161"/>
      <c r="D36" s="161" t="s">
        <v>800</v>
      </c>
      <c r="E36" s="161"/>
      <c r="F36" s="161"/>
      <c r="G36" s="161" t="s">
        <v>541</v>
      </c>
      <c r="H36" s="161"/>
      <c r="I36" s="54" t="s">
        <v>829</v>
      </c>
      <c r="J36" s="161" t="s">
        <v>767</v>
      </c>
      <c r="K36" s="235">
        <v>0</v>
      </c>
      <c r="L36" s="161">
        <v>250</v>
      </c>
      <c r="M36" s="161">
        <v>250</v>
      </c>
      <c r="N36" s="161" t="s">
        <v>827</v>
      </c>
      <c r="O36" s="235"/>
    </row>
    <row r="37" spans="1:15">
      <c r="A37" s="25">
        <v>35</v>
      </c>
      <c r="B37" s="70" t="s">
        <v>804</v>
      </c>
      <c r="C37" s="220"/>
      <c r="D37" s="220" t="s">
        <v>484</v>
      </c>
      <c r="E37" s="220"/>
      <c r="F37" s="220"/>
      <c r="G37" s="71" t="s">
        <v>541</v>
      </c>
      <c r="H37" s="60"/>
      <c r="I37" s="54" t="s">
        <v>829</v>
      </c>
      <c r="J37" s="71" t="s">
        <v>767</v>
      </c>
      <c r="K37" s="218">
        <v>0</v>
      </c>
      <c r="L37" s="220">
        <v>250</v>
      </c>
      <c r="M37" s="71">
        <v>0</v>
      </c>
      <c r="N37" s="220"/>
      <c r="O37" s="221">
        <f>Table178[[#This Row],[پیشکي]]-Table178[[#This Row],[د ۵۰ ٪ کرایی درکه]]</f>
        <v>0</v>
      </c>
    </row>
    <row r="38" spans="1:15">
      <c r="A38" s="25">
        <v>36</v>
      </c>
      <c r="B38" s="70" t="s">
        <v>805</v>
      </c>
      <c r="C38" s="220"/>
      <c r="D38" s="220" t="s">
        <v>484</v>
      </c>
      <c r="E38" s="220"/>
      <c r="F38" s="220"/>
      <c r="G38" s="71" t="s">
        <v>541</v>
      </c>
      <c r="H38" s="60"/>
      <c r="I38" s="54" t="s">
        <v>829</v>
      </c>
      <c r="J38" s="71" t="s">
        <v>767</v>
      </c>
      <c r="K38" s="218">
        <v>0</v>
      </c>
      <c r="L38" s="220">
        <v>250</v>
      </c>
      <c r="M38" s="71">
        <v>0</v>
      </c>
      <c r="N38" s="220"/>
      <c r="O38" s="221">
        <f>Table178[[#This Row],[پیشکي]]-Table178[[#This Row],[د ۵۰ ٪ کرایی درکه]]</f>
        <v>0</v>
      </c>
    </row>
    <row r="39" spans="1:15">
      <c r="A39" s="25">
        <v>37</v>
      </c>
      <c r="B39" s="70" t="s">
        <v>806</v>
      </c>
      <c r="C39" s="60"/>
      <c r="D39" s="220" t="s">
        <v>484</v>
      </c>
      <c r="E39" s="60"/>
      <c r="F39" s="60"/>
      <c r="G39" s="71" t="s">
        <v>541</v>
      </c>
      <c r="H39" s="60"/>
      <c r="I39" s="54" t="s">
        <v>829</v>
      </c>
      <c r="J39" s="71" t="s">
        <v>767</v>
      </c>
      <c r="K39" s="218">
        <v>0</v>
      </c>
      <c r="L39" s="220">
        <v>250</v>
      </c>
      <c r="M39" s="71">
        <v>0</v>
      </c>
      <c r="N39" s="60"/>
      <c r="O39" s="218">
        <f>Table178[[#This Row],[پیشکي]]-Table178[[#This Row],[د ۵۰ ٪ کرایی درکه]]</f>
        <v>0</v>
      </c>
    </row>
    <row r="40" spans="1:15">
      <c r="A40" s="25">
        <v>38</v>
      </c>
      <c r="B40" s="70" t="s">
        <v>807</v>
      </c>
      <c r="C40" s="60"/>
      <c r="D40" s="220" t="s">
        <v>484</v>
      </c>
      <c r="E40" s="60"/>
      <c r="F40" s="60"/>
      <c r="G40" s="71" t="s">
        <v>541</v>
      </c>
      <c r="H40" s="60"/>
      <c r="I40" s="54" t="s">
        <v>829</v>
      </c>
      <c r="J40" s="71" t="s">
        <v>767</v>
      </c>
      <c r="K40" s="218">
        <v>0</v>
      </c>
      <c r="L40" s="220">
        <v>250</v>
      </c>
      <c r="M40" s="71">
        <v>0</v>
      </c>
      <c r="N40" s="60"/>
      <c r="O40" s="218">
        <f>Table178[[#This Row],[پیشکي]]-Table178[[#This Row],[د ۵۰ ٪ کرایی درکه]]</f>
        <v>0</v>
      </c>
    </row>
    <row r="41" spans="1:15" s="166" customFormat="1">
      <c r="A41" s="160">
        <v>39</v>
      </c>
      <c r="B41" s="160" t="s">
        <v>808</v>
      </c>
      <c r="C41" s="161"/>
      <c r="D41" s="161" t="s">
        <v>809</v>
      </c>
      <c r="E41" s="161"/>
      <c r="F41" s="161"/>
      <c r="G41" s="161" t="s">
        <v>541</v>
      </c>
      <c r="H41" s="161"/>
      <c r="I41" s="54" t="s">
        <v>829</v>
      </c>
      <c r="J41" s="161" t="s">
        <v>767</v>
      </c>
      <c r="K41" s="235">
        <v>0</v>
      </c>
      <c r="L41" s="161">
        <v>0</v>
      </c>
      <c r="M41" s="161">
        <v>0</v>
      </c>
      <c r="N41" s="161" t="s">
        <v>824</v>
      </c>
      <c r="O41" s="235">
        <f>Table178[[#This Row],[پیشکي]]-Table178[[#This Row],[د ۵۰ ٪ کرایی درکه]]</f>
        <v>0</v>
      </c>
    </row>
    <row r="42" spans="1:15">
      <c r="A42" s="25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>
        <f>SUBTOTAL(109,L3:L41)</f>
        <v>16000</v>
      </c>
      <c r="M42" s="26">
        <f>SUBTOTAL(109,M3:M41)</f>
        <v>4250</v>
      </c>
      <c r="N42" s="26"/>
      <c r="O42" s="26">
        <f>Table178[[#This Row],[پیشکي]]-Table178[[#This Row],[د ۵۰ ٪ کرایی درکه]]</f>
        <v>-4250</v>
      </c>
    </row>
    <row r="43" spans="1:15">
      <c r="A43" s="25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1:15">
      <c r="A44" s="25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>
        <f>L42-M42</f>
        <v>11750</v>
      </c>
      <c r="M44" s="26"/>
      <c r="N44" s="26"/>
      <c r="O44" s="26">
        <f>Table178[[#This Row],[پیشکي]]-Table178[[#This Row],[د ۵۰ ٪ کرایی درکه]]</f>
        <v>0</v>
      </c>
    </row>
    <row r="45" spans="1:15">
      <c r="A45" s="25"/>
      <c r="B45" s="25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>
        <f>Table178[[#This Row],[پیشکي]]-Table178[[#This Row],[د ۵۰ ٪ کرایی درکه]]</f>
        <v>0</v>
      </c>
    </row>
    <row r="46" spans="1:15">
      <c r="A46" s="25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>
        <f>Table178[[#This Row],[پیشکي]]-Table178[[#This Row],[د ۵۰ ٪ کرایی درکه]]</f>
        <v>0</v>
      </c>
    </row>
    <row r="47" spans="1:15">
      <c r="A47" s="25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>
        <f>Table178[[#This Row],[پیشکي]]-Table178[[#This Row],[د ۵۰ ٪ کرایی درکه]]</f>
        <v>0</v>
      </c>
    </row>
    <row r="48" spans="1:15">
      <c r="A48" s="25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>
        <f>Table178[[#This Row],[پیشکي]]-Table178[[#This Row],[د ۵۰ ٪ کرایی درکه]]</f>
        <v>0</v>
      </c>
    </row>
    <row r="49" spans="1:15">
      <c r="A49" s="25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>
        <f>Table178[[#This Row],[پیشکي]]-Table178[[#This Row],[د ۵۰ ٪ کرایی درکه]]</f>
        <v>0</v>
      </c>
    </row>
    <row r="50" spans="1:15">
      <c r="A50" s="25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>
        <f>Table178[[#This Row],[پیشکي]]-Table178[[#This Row],[د ۵۰ ٪ کرایی درکه]]</f>
        <v>0</v>
      </c>
    </row>
    <row r="51" spans="1:15">
      <c r="A51" s="25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>
        <f>Table178[[#This Row],[پیشکي]]-Table178[[#This Row],[د ۵۰ ٪ کرایی درکه]]</f>
        <v>0</v>
      </c>
    </row>
    <row r="52" spans="1:15">
      <c r="A52" s="25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>
        <f>Table178[[#This Row],[پیشکي]]-Table178[[#This Row],[د ۵۰ ٪ کرایی درکه]]</f>
        <v>0</v>
      </c>
    </row>
    <row r="53" spans="1:15">
      <c r="A53" s="25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>
        <f>Table178[[#This Row],[پیشکي]]-Table178[[#This Row],[د ۵۰ ٪ کرایی درکه]]</f>
        <v>0</v>
      </c>
    </row>
    <row r="54" spans="1:15">
      <c r="A54" s="25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>
        <f>Table178[[#This Row],[پیشکي]]-Table178[[#This Row],[د ۵۰ ٪ کرایی درکه]]</f>
        <v>0</v>
      </c>
    </row>
    <row r="55" spans="1:15">
      <c r="A55" s="25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>
        <f>Table178[[#This Row],[پیشکي]]-Table178[[#This Row],[د ۵۰ ٪ کرایی درکه]]</f>
        <v>0</v>
      </c>
    </row>
    <row r="56" spans="1:15">
      <c r="A56" s="25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>
        <f>Table178[[#This Row],[پیشکي]]-Table178[[#This Row],[د ۵۰ ٪ کرایی درکه]]</f>
        <v>0</v>
      </c>
    </row>
    <row r="57" spans="1:15">
      <c r="A57" s="25"/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>
        <f>Table178[[#This Row],[پیشکي]]-Table178[[#This Row],[د ۵۰ ٪ کرایی درکه]]</f>
        <v>0</v>
      </c>
    </row>
    <row r="58" spans="1:15">
      <c r="A58" s="25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>
        <f>Table178[[#This Row],[پیشکي]]-Table178[[#This Row],[د ۵۰ ٪ کرایی درکه]]</f>
        <v>0</v>
      </c>
    </row>
    <row r="59" spans="1:15">
      <c r="A59" s="25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>
        <f>Table178[[#This Row],[پیشکي]]-Table178[[#This Row],[د ۵۰ ٪ کرایی درکه]]</f>
        <v>0</v>
      </c>
    </row>
    <row r="60" spans="1:15">
      <c r="A60" s="25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>
        <f>Table178[[#This Row],[پیشکي]]-Table178[[#This Row],[د ۵۰ ٪ کرایی درکه]]</f>
        <v>0</v>
      </c>
    </row>
    <row r="61" spans="1:15">
      <c r="A61" s="25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>
        <f>Table178[[#This Row],[پیشکي]]-Table178[[#This Row],[د ۵۰ ٪ کرایی درکه]]</f>
        <v>0</v>
      </c>
    </row>
    <row r="62" spans="1:15">
      <c r="A62" s="25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>
        <f>Table178[[#This Row],[پیشکي]]-Table178[[#This Row],[د ۵۰ ٪ کرایی درکه]]</f>
        <v>0</v>
      </c>
    </row>
    <row r="63" spans="1:15">
      <c r="A63" s="25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>
        <f>Table178[[#This Row],[پیشکي]]-Table178[[#This Row],[د ۵۰ ٪ کرایی درکه]]</f>
        <v>0</v>
      </c>
    </row>
    <row r="64" spans="1:15">
      <c r="A64" s="25"/>
      <c r="B64" s="25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>
        <f>Table178[[#This Row],[پیشکي]]-Table178[[#This Row],[د ۵۰ ٪ کرایی درکه]]</f>
        <v>0</v>
      </c>
    </row>
    <row r="65" spans="1:15">
      <c r="A65" s="25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>
        <f>Table178[[#This Row],[پیشکي]]-Table178[[#This Row],[د ۵۰ ٪ کرایی درکه]]</f>
        <v>0</v>
      </c>
    </row>
    <row r="66" spans="1:15">
      <c r="A66" s="25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>
        <f>Table178[[#This Row],[پیشکي]]-Table178[[#This Row],[د ۵۰ ٪ کرایی درکه]]</f>
        <v>0</v>
      </c>
    </row>
    <row r="67" spans="1:15">
      <c r="A67" s="25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>
        <f>Table178[[#This Row],[پیشکي]]-Table178[[#This Row],[د ۵۰ ٪ کرایی درکه]]</f>
        <v>0</v>
      </c>
    </row>
    <row r="68" spans="1:15">
      <c r="A68" s="25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>
        <f>Table178[[#This Row],[پیشکي]]-Table178[[#This Row],[د ۵۰ ٪ کرایی درکه]]</f>
        <v>0</v>
      </c>
    </row>
    <row r="69" spans="1:15">
      <c r="A69" s="25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>
        <f>Table178[[#This Row],[پیشکي]]-Table178[[#This Row],[د ۵۰ ٪ کرایی درکه]]</f>
        <v>0</v>
      </c>
    </row>
    <row r="70" spans="1:15">
      <c r="A70" s="25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>
        <f>Table178[[#This Row],[پیشکي]]-Table178[[#This Row],[د ۵۰ ٪ کرایی درکه]]</f>
        <v>0</v>
      </c>
    </row>
    <row r="71" spans="1:15">
      <c r="A71" s="25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>
        <f>Table178[[#This Row],[پیشکي]]-Table178[[#This Row],[د ۵۰ ٪ کرایی درکه]]</f>
        <v>0</v>
      </c>
    </row>
    <row r="72" spans="1:15">
      <c r="A72" s="25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>
        <f>Table178[[#This Row],[پیشکي]]-Table178[[#This Row],[د ۵۰ ٪ کرایی درکه]]</f>
        <v>0</v>
      </c>
    </row>
    <row r="73" spans="1:15">
      <c r="A73" s="25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>
        <f>Table178[[#This Row],[پیشکي]]-Table178[[#This Row],[د ۵۰ ٪ کرایی درکه]]</f>
        <v>0</v>
      </c>
    </row>
    <row r="74" spans="1:15">
      <c r="A74" s="25">
        <v>66</v>
      </c>
      <c r="B74" s="25">
        <v>66</v>
      </c>
      <c r="C74" s="26"/>
      <c r="D74" s="26"/>
      <c r="E74" s="26"/>
      <c r="F74" s="26"/>
      <c r="G74" s="26"/>
      <c r="H74" s="26"/>
      <c r="I74" s="26"/>
      <c r="J74" s="26"/>
      <c r="K74" s="26">
        <f t="shared" ref="K74:K80" si="0">H74-(I74+J74)</f>
        <v>0</v>
      </c>
      <c r="L74" s="26"/>
      <c r="M74" s="26">
        <f t="shared" ref="M74:M80" si="1">L74-(I74+J74)</f>
        <v>0</v>
      </c>
      <c r="N74" s="26"/>
      <c r="O74" s="26">
        <f>Table178[[#This Row],[پیشکي]]-Table178[[#This Row],[د ۵۰ ٪ کرایی درکه]]</f>
        <v>0</v>
      </c>
    </row>
    <row r="75" spans="1:15">
      <c r="A75" s="25">
        <v>67</v>
      </c>
      <c r="B75" s="25">
        <v>67</v>
      </c>
      <c r="C75" s="26"/>
      <c r="D75" s="26"/>
      <c r="E75" s="26"/>
      <c r="F75" s="26"/>
      <c r="G75" s="26"/>
      <c r="H75" s="26"/>
      <c r="I75" s="26"/>
      <c r="J75" s="26"/>
      <c r="K75" s="26">
        <f t="shared" si="0"/>
        <v>0</v>
      </c>
      <c r="L75" s="26"/>
      <c r="M75" s="26">
        <f t="shared" si="1"/>
        <v>0</v>
      </c>
      <c r="N75" s="26"/>
      <c r="O75" s="26">
        <f>Table178[[#This Row],[پیشکي]]-Table178[[#This Row],[د ۵۰ ٪ کرایی درکه]]</f>
        <v>0</v>
      </c>
    </row>
    <row r="76" spans="1:15">
      <c r="A76" s="25">
        <v>68</v>
      </c>
      <c r="B76" s="25">
        <v>68</v>
      </c>
      <c r="C76" s="26"/>
      <c r="D76" s="26"/>
      <c r="E76" s="26"/>
      <c r="F76" s="26"/>
      <c r="G76" s="26"/>
      <c r="H76" s="26"/>
      <c r="I76" s="26"/>
      <c r="J76" s="26"/>
      <c r="K76" s="26">
        <f t="shared" si="0"/>
        <v>0</v>
      </c>
      <c r="L76" s="26"/>
      <c r="M76" s="26">
        <f t="shared" si="1"/>
        <v>0</v>
      </c>
      <c r="N76" s="26"/>
      <c r="O76" s="26">
        <f>Table178[[#This Row],[پیشکي]]-Table178[[#This Row],[د ۵۰ ٪ کرایی درکه]]</f>
        <v>0</v>
      </c>
    </row>
    <row r="77" spans="1:15">
      <c r="A77" s="25">
        <v>69</v>
      </c>
      <c r="B77" s="25">
        <v>69</v>
      </c>
      <c r="C77" s="26"/>
      <c r="D77" s="26"/>
      <c r="E77" s="26"/>
      <c r="F77" s="26"/>
      <c r="G77" s="26"/>
      <c r="H77" s="26"/>
      <c r="I77" s="26"/>
      <c r="J77" s="26"/>
      <c r="K77" s="26">
        <f t="shared" si="0"/>
        <v>0</v>
      </c>
      <c r="L77" s="26"/>
      <c r="M77" s="26">
        <f t="shared" si="1"/>
        <v>0</v>
      </c>
      <c r="N77" s="26"/>
      <c r="O77" s="26">
        <f>Table178[[#This Row],[پیشکي]]-Table178[[#This Row],[د ۵۰ ٪ کرایی درکه]]</f>
        <v>0</v>
      </c>
    </row>
    <row r="78" spans="1:15">
      <c r="A78" s="25">
        <v>70</v>
      </c>
      <c r="B78" s="25">
        <v>70</v>
      </c>
      <c r="C78" s="26"/>
      <c r="D78" s="26"/>
      <c r="E78" s="26"/>
      <c r="F78" s="26"/>
      <c r="G78" s="26"/>
      <c r="H78" s="26"/>
      <c r="I78" s="26"/>
      <c r="J78" s="26"/>
      <c r="K78" s="26">
        <f t="shared" si="0"/>
        <v>0</v>
      </c>
      <c r="L78" s="26"/>
      <c r="M78" s="26">
        <f t="shared" si="1"/>
        <v>0</v>
      </c>
      <c r="N78" s="26"/>
      <c r="O78" s="26">
        <f>Table178[[#This Row],[پیشکي]]-Table178[[#This Row],[د ۵۰ ٪ کرایی درکه]]</f>
        <v>0</v>
      </c>
    </row>
    <row r="79" spans="1:15">
      <c r="A79" s="25">
        <v>71</v>
      </c>
      <c r="B79" s="25">
        <v>71</v>
      </c>
      <c r="C79" s="26"/>
      <c r="D79" s="26"/>
      <c r="E79" s="26"/>
      <c r="F79" s="26"/>
      <c r="G79" s="26"/>
      <c r="H79" s="26"/>
      <c r="I79" s="26"/>
      <c r="J79" s="26"/>
      <c r="K79" s="26">
        <f t="shared" si="0"/>
        <v>0</v>
      </c>
      <c r="L79" s="26"/>
      <c r="M79" s="26">
        <f t="shared" si="1"/>
        <v>0</v>
      </c>
      <c r="N79" s="26"/>
      <c r="O79" s="26">
        <f>Table178[[#This Row],[پیشکي]]-Table178[[#This Row],[د ۵۰ ٪ کرایی درکه]]</f>
        <v>0</v>
      </c>
    </row>
    <row r="80" spans="1:15">
      <c r="A80" s="25">
        <v>72</v>
      </c>
      <c r="B80" s="25">
        <v>72</v>
      </c>
      <c r="C80" s="26"/>
      <c r="D80" s="26"/>
      <c r="E80" s="26"/>
      <c r="F80" s="26"/>
      <c r="G80" s="26"/>
      <c r="H80" s="26"/>
      <c r="I80" s="26"/>
      <c r="J80" s="26"/>
      <c r="K80" s="26">
        <f t="shared" si="0"/>
        <v>0</v>
      </c>
      <c r="L80" s="26"/>
      <c r="M80" s="26">
        <f t="shared" si="1"/>
        <v>0</v>
      </c>
      <c r="N80" s="38"/>
      <c r="O80" s="38">
        <f>Table178[[#This Row],[پیشکي]]-Table178[[#This Row],[د ۵۰ ٪ کرایی درکه]]</f>
        <v>0</v>
      </c>
    </row>
  </sheetData>
  <sheetProtection insertColumns="0" insertRows="0" deleteColumns="0" deleteRows="0"/>
  <mergeCells count="1">
    <mergeCell ref="A1:O1"/>
  </mergeCells>
  <pageMargins left="0.7" right="0.7" top="0.75" bottom="0.75" header="0.3" footer="0.3"/>
  <pageSetup scale="80" orientation="landscape" horizontalDpi="360" verticalDpi="36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J73"/>
  <sheetViews>
    <sheetView rightToLeft="1" zoomScaleNormal="100" workbookViewId="0">
      <selection activeCell="I5" sqref="I5"/>
    </sheetView>
  </sheetViews>
  <sheetFormatPr defaultRowHeight="18"/>
  <cols>
    <col min="1" max="1" width="4.1640625" style="20" bestFit="1" customWidth="1"/>
    <col min="2" max="2" width="10.1640625" style="20" bestFit="1" customWidth="1"/>
    <col min="3" max="3" width="19.08203125" style="20" bestFit="1" customWidth="1"/>
    <col min="4" max="4" width="8.1640625" style="20" customWidth="1"/>
    <col min="5" max="5" width="9" style="20" bestFit="1" customWidth="1"/>
    <col min="6" max="6" width="8" style="20" customWidth="1"/>
    <col min="7" max="7" width="9.33203125" style="20" customWidth="1"/>
    <col min="8" max="8" width="7.58203125" style="20" bestFit="1" customWidth="1"/>
    <col min="9" max="9" width="9.58203125" style="20" bestFit="1" customWidth="1"/>
    <col min="10" max="10" width="10.83203125" style="20" customWidth="1"/>
  </cols>
  <sheetData>
    <row r="1" spans="1:10" ht="43.5" customHeight="1">
      <c r="A1" s="32" t="s">
        <v>41</v>
      </c>
      <c r="B1" s="33" t="s">
        <v>38</v>
      </c>
      <c r="C1" s="33" t="s">
        <v>42</v>
      </c>
      <c r="D1" s="33" t="s">
        <v>268</v>
      </c>
      <c r="E1" s="33" t="s">
        <v>46</v>
      </c>
      <c r="F1" s="33" t="s">
        <v>39</v>
      </c>
      <c r="G1" s="33" t="s">
        <v>347</v>
      </c>
      <c r="H1" s="34" t="s">
        <v>417</v>
      </c>
      <c r="I1" s="34" t="s">
        <v>50</v>
      </c>
      <c r="J1" s="34" t="s">
        <v>45</v>
      </c>
    </row>
    <row r="2" spans="1:10">
      <c r="A2" s="25">
        <v>1</v>
      </c>
      <c r="B2" s="26" t="s">
        <v>752</v>
      </c>
      <c r="C2" s="27" t="s">
        <v>753</v>
      </c>
      <c r="D2" s="26"/>
      <c r="E2" s="26" t="s">
        <v>754</v>
      </c>
      <c r="F2" s="26" t="s">
        <v>491</v>
      </c>
      <c r="G2" s="26" t="s">
        <v>652</v>
      </c>
      <c r="H2" s="26">
        <v>180000</v>
      </c>
      <c r="I2" s="28"/>
      <c r="J2" s="26"/>
    </row>
    <row r="3" spans="1:10">
      <c r="A3" s="25">
        <v>2</v>
      </c>
      <c r="B3" s="26" t="s">
        <v>810</v>
      </c>
      <c r="C3" s="27" t="s">
        <v>753</v>
      </c>
      <c r="D3" s="26"/>
      <c r="E3" s="26" t="s">
        <v>766</v>
      </c>
      <c r="F3" s="26" t="s">
        <v>491</v>
      </c>
      <c r="G3" s="26"/>
      <c r="H3" s="26">
        <v>160000</v>
      </c>
      <c r="I3" s="26" t="s">
        <v>816</v>
      </c>
      <c r="J3" s="26"/>
    </row>
    <row r="4" spans="1:10">
      <c r="A4" s="25">
        <v>3</v>
      </c>
      <c r="B4" s="26" t="s">
        <v>821</v>
      </c>
      <c r="C4" s="27" t="s">
        <v>753</v>
      </c>
      <c r="D4" s="26"/>
      <c r="E4" s="26" t="s">
        <v>820</v>
      </c>
      <c r="F4" s="26" t="s">
        <v>491</v>
      </c>
      <c r="G4" s="26"/>
      <c r="H4" s="26">
        <v>180000</v>
      </c>
      <c r="I4" s="26" t="s">
        <v>826</v>
      </c>
      <c r="J4" s="26"/>
    </row>
    <row r="5" spans="1:10">
      <c r="A5" s="25">
        <v>4</v>
      </c>
      <c r="B5" s="26">
        <v>0</v>
      </c>
      <c r="C5" s="27" t="s">
        <v>753</v>
      </c>
      <c r="D5" s="26"/>
      <c r="E5" s="26" t="s">
        <v>825</v>
      </c>
      <c r="F5" s="26" t="s">
        <v>491</v>
      </c>
      <c r="G5" s="26" t="s">
        <v>652</v>
      </c>
      <c r="H5" s="26"/>
      <c r="I5" s="26"/>
      <c r="J5" s="26"/>
    </row>
    <row r="6" spans="1:10">
      <c r="A6" s="25">
        <v>5</v>
      </c>
      <c r="B6" s="26">
        <v>0</v>
      </c>
      <c r="C6" s="27" t="s">
        <v>753</v>
      </c>
      <c r="D6" s="26"/>
      <c r="E6" s="26">
        <v>0</v>
      </c>
      <c r="F6" s="26"/>
      <c r="G6" s="26"/>
      <c r="H6" s="26"/>
      <c r="I6" s="26"/>
      <c r="J6" s="26"/>
    </row>
    <row r="7" spans="1:10">
      <c r="A7" s="25">
        <v>6</v>
      </c>
      <c r="B7" s="26">
        <v>0</v>
      </c>
      <c r="C7" s="27" t="s">
        <v>753</v>
      </c>
      <c r="D7" s="26"/>
      <c r="E7" s="26">
        <v>0</v>
      </c>
      <c r="F7" s="26"/>
      <c r="G7" s="26"/>
      <c r="H7" s="26"/>
      <c r="I7" s="26"/>
      <c r="J7" s="26"/>
    </row>
    <row r="8" spans="1:10">
      <c r="A8" s="25">
        <v>7</v>
      </c>
      <c r="B8" s="26">
        <v>0</v>
      </c>
      <c r="C8" s="27" t="s">
        <v>753</v>
      </c>
      <c r="D8" s="26"/>
      <c r="E8" s="26">
        <v>0</v>
      </c>
      <c r="F8" s="26"/>
      <c r="G8" s="26"/>
      <c r="H8" s="26"/>
      <c r="I8" s="26"/>
      <c r="J8" s="26"/>
    </row>
    <row r="9" spans="1:10">
      <c r="A9" s="25">
        <v>8</v>
      </c>
      <c r="B9" s="26">
        <v>0</v>
      </c>
      <c r="C9" s="27" t="s">
        <v>753</v>
      </c>
      <c r="D9" s="26"/>
      <c r="E9" s="26">
        <v>0</v>
      </c>
      <c r="F9" s="26"/>
      <c r="G9" s="26"/>
      <c r="H9" s="26"/>
      <c r="I9" s="26"/>
      <c r="J9" s="26"/>
    </row>
    <row r="10" spans="1:10">
      <c r="A10" s="25">
        <v>9</v>
      </c>
      <c r="B10" s="26">
        <v>0</v>
      </c>
      <c r="C10" s="27" t="s">
        <v>753</v>
      </c>
      <c r="D10" s="26"/>
      <c r="E10" s="26">
        <v>0</v>
      </c>
      <c r="F10" s="26"/>
      <c r="G10" s="26"/>
      <c r="H10" s="26"/>
      <c r="I10" s="26"/>
      <c r="J10" s="26"/>
    </row>
    <row r="11" spans="1:10">
      <c r="A11" s="25">
        <v>10</v>
      </c>
      <c r="B11" s="26">
        <v>0</v>
      </c>
      <c r="C11" s="27" t="s">
        <v>753</v>
      </c>
      <c r="D11" s="26"/>
      <c r="E11" s="26">
        <v>0</v>
      </c>
      <c r="F11" s="26"/>
      <c r="G11" s="26"/>
      <c r="H11" s="26"/>
      <c r="I11" s="26"/>
      <c r="J11" s="26"/>
    </row>
    <row r="12" spans="1:10">
      <c r="A12" s="25">
        <v>11</v>
      </c>
      <c r="B12" s="26">
        <v>0</v>
      </c>
      <c r="C12" s="27" t="s">
        <v>753</v>
      </c>
      <c r="D12" s="26"/>
      <c r="E12" s="26">
        <v>0</v>
      </c>
      <c r="F12" s="26"/>
      <c r="G12" s="26"/>
      <c r="H12" s="26"/>
      <c r="I12" s="26"/>
      <c r="J12" s="26"/>
    </row>
    <row r="13" spans="1:10">
      <c r="A13" s="25">
        <v>12</v>
      </c>
      <c r="B13" s="26">
        <v>0</v>
      </c>
      <c r="C13" s="27" t="s">
        <v>753</v>
      </c>
      <c r="D13" s="26"/>
      <c r="E13" s="26">
        <v>0</v>
      </c>
      <c r="F13" s="26"/>
      <c r="G13" s="26"/>
      <c r="H13" s="26"/>
      <c r="I13" s="26"/>
      <c r="J13" s="26"/>
    </row>
    <row r="14" spans="1:10">
      <c r="A14" s="25">
        <v>13</v>
      </c>
      <c r="B14" s="26">
        <v>0</v>
      </c>
      <c r="C14" s="27" t="s">
        <v>753</v>
      </c>
      <c r="D14" s="26"/>
      <c r="E14" s="26">
        <v>0</v>
      </c>
      <c r="F14" s="26"/>
      <c r="G14" s="26"/>
      <c r="H14" s="26"/>
      <c r="I14" s="26"/>
      <c r="J14" s="26"/>
    </row>
    <row r="15" spans="1:10">
      <c r="A15" s="25">
        <v>14</v>
      </c>
      <c r="B15" s="26">
        <v>0</v>
      </c>
      <c r="C15" s="27" t="s">
        <v>753</v>
      </c>
      <c r="D15" s="26"/>
      <c r="E15" s="26">
        <v>0</v>
      </c>
      <c r="F15" s="26"/>
      <c r="G15" s="26"/>
      <c r="H15" s="26"/>
      <c r="I15" s="26"/>
      <c r="J15" s="26"/>
    </row>
    <row r="16" spans="1:10">
      <c r="A16" s="25">
        <v>15</v>
      </c>
      <c r="B16" s="26">
        <v>0</v>
      </c>
      <c r="C16" s="27" t="s">
        <v>753</v>
      </c>
      <c r="D16" s="26"/>
      <c r="E16" s="26">
        <v>0</v>
      </c>
      <c r="F16" s="26"/>
      <c r="G16" s="26"/>
      <c r="H16" s="26"/>
      <c r="I16" s="26"/>
      <c r="J16" s="26"/>
    </row>
    <row r="17" spans="1:10">
      <c r="A17" s="25">
        <v>16</v>
      </c>
      <c r="B17" s="26">
        <v>0</v>
      </c>
      <c r="C17" s="27" t="s">
        <v>753</v>
      </c>
      <c r="D17" s="26"/>
      <c r="E17" s="26">
        <v>0</v>
      </c>
      <c r="F17" s="26"/>
      <c r="G17" s="26"/>
      <c r="H17" s="26"/>
      <c r="I17" s="26"/>
      <c r="J17" s="26"/>
    </row>
    <row r="18" spans="1:10">
      <c r="A18" s="25">
        <v>17</v>
      </c>
      <c r="B18" s="26">
        <v>0</v>
      </c>
      <c r="C18" s="27" t="s">
        <v>753</v>
      </c>
      <c r="D18" s="26"/>
      <c r="E18" s="26">
        <v>0</v>
      </c>
      <c r="F18" s="26"/>
      <c r="G18" s="26"/>
      <c r="H18" s="26"/>
      <c r="I18" s="26"/>
      <c r="J18" s="26"/>
    </row>
    <row r="19" spans="1:10">
      <c r="A19" s="25">
        <v>18</v>
      </c>
      <c r="B19" s="26">
        <v>0</v>
      </c>
      <c r="C19" s="27" t="s">
        <v>753</v>
      </c>
      <c r="D19" s="26"/>
      <c r="E19" s="26">
        <v>0</v>
      </c>
      <c r="F19" s="26"/>
      <c r="G19" s="26"/>
      <c r="H19" s="26"/>
      <c r="I19" s="26"/>
      <c r="J19" s="28"/>
    </row>
    <row r="20" spans="1:10">
      <c r="A20" s="25">
        <v>19</v>
      </c>
      <c r="B20" s="26">
        <v>0</v>
      </c>
      <c r="C20" s="27" t="s">
        <v>753</v>
      </c>
      <c r="D20" s="26"/>
      <c r="E20" s="26">
        <v>0</v>
      </c>
      <c r="F20" s="26"/>
      <c r="G20" s="26"/>
      <c r="H20" s="26"/>
      <c r="I20" s="26"/>
      <c r="J20" s="28"/>
    </row>
    <row r="21" spans="1:10">
      <c r="A21" s="25">
        <v>20</v>
      </c>
      <c r="B21" s="26">
        <v>0</v>
      </c>
      <c r="C21" s="27" t="s">
        <v>753</v>
      </c>
      <c r="D21" s="26"/>
      <c r="E21" s="26">
        <v>0</v>
      </c>
      <c r="F21" s="26"/>
      <c r="G21" s="26"/>
      <c r="H21" s="26"/>
      <c r="I21" s="26"/>
      <c r="J21" s="28"/>
    </row>
    <row r="22" spans="1:10">
      <c r="A22" s="25">
        <v>21</v>
      </c>
      <c r="B22" s="26">
        <v>0</v>
      </c>
      <c r="C22" s="27" t="s">
        <v>753</v>
      </c>
      <c r="D22" s="26"/>
      <c r="E22" s="26">
        <v>0</v>
      </c>
      <c r="F22" s="26"/>
      <c r="G22" s="26"/>
      <c r="H22" s="26"/>
      <c r="I22" s="26"/>
      <c r="J22" s="28"/>
    </row>
    <row r="23" spans="1:10">
      <c r="A23" s="25">
        <v>22</v>
      </c>
      <c r="B23" s="26">
        <v>0</v>
      </c>
      <c r="C23" s="27" t="s">
        <v>753</v>
      </c>
      <c r="D23" s="26"/>
      <c r="E23" s="26">
        <v>0</v>
      </c>
      <c r="F23" s="26"/>
      <c r="G23" s="26"/>
      <c r="H23" s="26"/>
      <c r="I23" s="26"/>
      <c r="J23" s="28"/>
    </row>
    <row r="24" spans="1:10">
      <c r="A24" s="25">
        <v>23</v>
      </c>
      <c r="B24" s="26">
        <v>0</v>
      </c>
      <c r="C24" s="27" t="s">
        <v>753</v>
      </c>
      <c r="D24" s="26"/>
      <c r="E24" s="26">
        <v>0</v>
      </c>
      <c r="F24" s="26"/>
      <c r="G24" s="26"/>
      <c r="H24" s="26"/>
      <c r="I24" s="26"/>
      <c r="J24" s="28"/>
    </row>
    <row r="25" spans="1:10">
      <c r="A25" s="25">
        <v>24</v>
      </c>
      <c r="B25" s="26">
        <v>0</v>
      </c>
      <c r="C25" s="27" t="s">
        <v>753</v>
      </c>
      <c r="D25" s="26"/>
      <c r="E25" s="26">
        <v>0</v>
      </c>
      <c r="F25" s="26"/>
      <c r="G25" s="26"/>
      <c r="H25" s="26"/>
      <c r="I25" s="26"/>
      <c r="J25" s="28"/>
    </row>
    <row r="26" spans="1:10">
      <c r="A26" s="25">
        <v>25</v>
      </c>
      <c r="B26" s="26">
        <v>0</v>
      </c>
      <c r="C26" s="27" t="s">
        <v>753</v>
      </c>
      <c r="D26" s="26"/>
      <c r="E26" s="26">
        <v>0</v>
      </c>
      <c r="F26" s="26"/>
      <c r="G26" s="26"/>
      <c r="H26" s="26"/>
      <c r="I26" s="26"/>
      <c r="J26" s="28"/>
    </row>
    <row r="27" spans="1:10">
      <c r="A27" s="25">
        <v>26</v>
      </c>
      <c r="B27" s="26">
        <v>0</v>
      </c>
      <c r="C27" s="27" t="s">
        <v>753</v>
      </c>
      <c r="D27" s="26"/>
      <c r="E27" s="26">
        <v>0</v>
      </c>
      <c r="F27" s="26"/>
      <c r="G27" s="26"/>
      <c r="H27" s="26"/>
      <c r="I27" s="26"/>
      <c r="J27" s="28"/>
    </row>
    <row r="28" spans="1:10">
      <c r="A28" s="25">
        <v>27</v>
      </c>
      <c r="B28" s="26">
        <v>0</v>
      </c>
      <c r="C28" s="27" t="s">
        <v>753</v>
      </c>
      <c r="D28" s="26"/>
      <c r="E28" s="26">
        <v>0</v>
      </c>
      <c r="F28" s="26"/>
      <c r="G28" s="26"/>
      <c r="H28" s="26"/>
      <c r="I28" s="26"/>
      <c r="J28" s="28"/>
    </row>
    <row r="29" spans="1:10">
      <c r="A29" s="25">
        <v>28</v>
      </c>
      <c r="B29" s="26">
        <v>0</v>
      </c>
      <c r="C29" s="27" t="s">
        <v>753</v>
      </c>
      <c r="D29" s="26"/>
      <c r="E29" s="26">
        <v>0</v>
      </c>
      <c r="F29" s="26"/>
      <c r="G29" s="26"/>
      <c r="H29" s="26"/>
      <c r="I29" s="26"/>
      <c r="J29" s="28"/>
    </row>
    <row r="30" spans="1:10">
      <c r="A30" s="25">
        <v>29</v>
      </c>
      <c r="B30" s="26">
        <v>0</v>
      </c>
      <c r="C30" s="27" t="s">
        <v>753</v>
      </c>
      <c r="D30" s="26"/>
      <c r="E30" s="26">
        <v>0</v>
      </c>
      <c r="F30" s="26"/>
      <c r="G30" s="26"/>
      <c r="H30" s="26"/>
      <c r="I30" s="26"/>
      <c r="J30" s="28"/>
    </row>
    <row r="31" spans="1:10">
      <c r="A31" s="25">
        <v>30</v>
      </c>
      <c r="B31" s="26">
        <v>0</v>
      </c>
      <c r="C31" s="27" t="s">
        <v>753</v>
      </c>
      <c r="D31" s="26"/>
      <c r="E31" s="26">
        <v>0</v>
      </c>
      <c r="F31" s="26"/>
      <c r="G31" s="26"/>
      <c r="H31" s="26"/>
      <c r="I31" s="26"/>
      <c r="J31" s="28"/>
    </row>
    <row r="32" spans="1:10">
      <c r="A32" s="25">
        <v>31</v>
      </c>
      <c r="B32" s="26">
        <v>0</v>
      </c>
      <c r="C32" s="27" t="s">
        <v>753</v>
      </c>
      <c r="D32" s="26"/>
      <c r="E32" s="26">
        <v>0</v>
      </c>
      <c r="F32" s="26"/>
      <c r="G32" s="26"/>
      <c r="H32" s="26"/>
      <c r="I32" s="26"/>
      <c r="J32" s="28"/>
    </row>
    <row r="33" spans="1:10">
      <c r="A33" s="25">
        <v>32</v>
      </c>
      <c r="B33" s="26">
        <v>0</v>
      </c>
      <c r="C33" s="27" t="s">
        <v>753</v>
      </c>
      <c r="D33" s="26"/>
      <c r="E33" s="26">
        <v>0</v>
      </c>
      <c r="F33" s="26"/>
      <c r="G33" s="26"/>
      <c r="H33" s="26"/>
      <c r="I33" s="26"/>
      <c r="J33" s="28"/>
    </row>
    <row r="34" spans="1:10">
      <c r="A34" s="25">
        <v>33</v>
      </c>
      <c r="B34" s="26">
        <v>0</v>
      </c>
      <c r="C34" s="27" t="s">
        <v>753</v>
      </c>
      <c r="D34" s="26"/>
      <c r="E34" s="26">
        <v>0</v>
      </c>
      <c r="F34" s="26"/>
      <c r="G34" s="26"/>
      <c r="H34" s="26"/>
      <c r="I34" s="26"/>
      <c r="J34" s="28"/>
    </row>
    <row r="35" spans="1:10">
      <c r="A35" s="25">
        <v>34</v>
      </c>
      <c r="B35" s="26">
        <v>0</v>
      </c>
      <c r="C35" s="27" t="s">
        <v>753</v>
      </c>
      <c r="D35" s="26"/>
      <c r="E35" s="26">
        <v>0</v>
      </c>
      <c r="F35" s="26"/>
      <c r="G35" s="26"/>
      <c r="H35" s="26"/>
      <c r="I35" s="26"/>
      <c r="J35" s="28"/>
    </row>
    <row r="36" spans="1:10">
      <c r="A36" s="25">
        <v>35</v>
      </c>
      <c r="B36" s="26">
        <v>0</v>
      </c>
      <c r="C36" s="27" t="s">
        <v>753</v>
      </c>
      <c r="D36" s="26"/>
      <c r="E36" s="26">
        <v>0</v>
      </c>
      <c r="F36" s="26"/>
      <c r="G36" s="26"/>
      <c r="H36" s="26"/>
      <c r="I36" s="26"/>
      <c r="J36" s="28"/>
    </row>
    <row r="37" spans="1:10">
      <c r="A37" s="25">
        <v>36</v>
      </c>
      <c r="B37" s="26">
        <v>0</v>
      </c>
      <c r="C37" s="27" t="s">
        <v>753</v>
      </c>
      <c r="D37" s="26"/>
      <c r="E37" s="26">
        <v>0</v>
      </c>
      <c r="F37" s="26"/>
      <c r="G37" s="26"/>
      <c r="H37" s="26"/>
      <c r="I37" s="26"/>
      <c r="J37" s="28"/>
    </row>
    <row r="38" spans="1:10">
      <c r="A38" s="25">
        <v>37</v>
      </c>
      <c r="B38" s="26">
        <v>0</v>
      </c>
      <c r="C38" s="27" t="s">
        <v>753</v>
      </c>
      <c r="D38" s="26"/>
      <c r="E38" s="26">
        <v>0</v>
      </c>
      <c r="F38" s="26"/>
      <c r="G38" s="26"/>
      <c r="H38" s="26"/>
      <c r="I38" s="26"/>
      <c r="J38" s="28"/>
    </row>
    <row r="39" spans="1:10">
      <c r="A39" s="25">
        <v>38</v>
      </c>
      <c r="B39" s="26">
        <v>0</v>
      </c>
      <c r="C39" s="27" t="s">
        <v>753</v>
      </c>
      <c r="D39" s="26"/>
      <c r="E39" s="26">
        <v>0</v>
      </c>
      <c r="F39" s="26"/>
      <c r="G39" s="26"/>
      <c r="H39" s="26"/>
      <c r="I39" s="26"/>
      <c r="J39" s="28"/>
    </row>
    <row r="40" spans="1:10">
      <c r="A40" s="25">
        <v>39</v>
      </c>
      <c r="B40" s="26">
        <v>0</v>
      </c>
      <c r="C40" s="27" t="s">
        <v>753</v>
      </c>
      <c r="D40" s="26"/>
      <c r="E40" s="26">
        <v>0</v>
      </c>
      <c r="F40" s="26"/>
      <c r="G40" s="26"/>
      <c r="H40" s="26"/>
      <c r="I40" s="26"/>
      <c r="J40" s="28"/>
    </row>
    <row r="41" spans="1:10">
      <c r="A41" s="25">
        <v>40</v>
      </c>
      <c r="B41" s="26">
        <v>0</v>
      </c>
      <c r="C41" s="27" t="s">
        <v>753</v>
      </c>
      <c r="D41" s="26"/>
      <c r="E41" s="26">
        <v>0</v>
      </c>
      <c r="F41" s="26"/>
      <c r="G41" s="26"/>
      <c r="H41" s="26"/>
      <c r="I41" s="26"/>
      <c r="J41" s="28"/>
    </row>
    <row r="42" spans="1:10">
      <c r="A42" s="25">
        <v>41</v>
      </c>
      <c r="B42" s="26">
        <v>0</v>
      </c>
      <c r="C42" s="27" t="s">
        <v>753</v>
      </c>
      <c r="D42" s="26"/>
      <c r="E42" s="26">
        <v>0</v>
      </c>
      <c r="F42" s="26"/>
      <c r="G42" s="26"/>
      <c r="H42" s="26"/>
      <c r="I42" s="26"/>
      <c r="J42" s="28"/>
    </row>
    <row r="43" spans="1:10">
      <c r="A43" s="25">
        <v>42</v>
      </c>
      <c r="B43" s="26">
        <v>0</v>
      </c>
      <c r="C43" s="27" t="s">
        <v>753</v>
      </c>
      <c r="D43" s="26"/>
      <c r="E43" s="26">
        <v>0</v>
      </c>
      <c r="F43" s="26"/>
      <c r="G43" s="26"/>
      <c r="H43" s="26"/>
      <c r="I43" s="26"/>
      <c r="J43" s="28"/>
    </row>
    <row r="44" spans="1:10">
      <c r="A44" s="25">
        <v>43</v>
      </c>
      <c r="B44" s="26">
        <v>0</v>
      </c>
      <c r="C44" s="27" t="s">
        <v>753</v>
      </c>
      <c r="D44" s="26"/>
      <c r="E44" s="26">
        <v>0</v>
      </c>
      <c r="F44" s="26"/>
      <c r="G44" s="26"/>
      <c r="H44" s="26"/>
      <c r="I44" s="26"/>
      <c r="J44" s="28"/>
    </row>
    <row r="45" spans="1:10">
      <c r="A45" s="25">
        <v>44</v>
      </c>
      <c r="B45" s="26">
        <v>0</v>
      </c>
      <c r="C45" s="27" t="s">
        <v>753</v>
      </c>
      <c r="D45" s="26"/>
      <c r="E45" s="26">
        <v>0</v>
      </c>
      <c r="F45" s="26"/>
      <c r="G45" s="26"/>
      <c r="H45" s="26"/>
      <c r="I45" s="26"/>
      <c r="J45" s="28"/>
    </row>
    <row r="46" spans="1:10">
      <c r="A46" s="25">
        <v>45</v>
      </c>
      <c r="B46" s="26">
        <v>0</v>
      </c>
      <c r="C46" s="27" t="s">
        <v>753</v>
      </c>
      <c r="D46" s="26"/>
      <c r="E46" s="26">
        <v>0</v>
      </c>
      <c r="F46" s="26"/>
      <c r="G46" s="26"/>
      <c r="H46" s="26"/>
      <c r="I46" s="26"/>
      <c r="J46" s="28"/>
    </row>
    <row r="47" spans="1:10">
      <c r="A47" s="25">
        <v>46</v>
      </c>
      <c r="B47" s="26">
        <v>0</v>
      </c>
      <c r="C47" s="27" t="s">
        <v>753</v>
      </c>
      <c r="D47" s="26"/>
      <c r="E47" s="26">
        <v>0</v>
      </c>
      <c r="F47" s="26"/>
      <c r="G47" s="26"/>
      <c r="H47" s="26"/>
      <c r="I47" s="26"/>
      <c r="J47" s="28"/>
    </row>
    <row r="48" spans="1:10">
      <c r="A48" s="25">
        <v>47</v>
      </c>
      <c r="B48" s="26">
        <v>0</v>
      </c>
      <c r="C48" s="27" t="s">
        <v>753</v>
      </c>
      <c r="D48" s="26"/>
      <c r="E48" s="26">
        <v>0</v>
      </c>
      <c r="F48" s="26"/>
      <c r="G48" s="26"/>
      <c r="H48" s="26"/>
      <c r="I48" s="26"/>
      <c r="J48" s="28"/>
    </row>
    <row r="49" spans="1:10">
      <c r="A49" s="25">
        <v>48</v>
      </c>
      <c r="B49" s="26">
        <v>0</v>
      </c>
      <c r="C49" s="27" t="s">
        <v>753</v>
      </c>
      <c r="D49" s="26"/>
      <c r="E49" s="26">
        <v>0</v>
      </c>
      <c r="F49" s="26"/>
      <c r="G49" s="26"/>
      <c r="H49" s="26"/>
      <c r="I49" s="26"/>
      <c r="J49" s="28"/>
    </row>
    <row r="50" spans="1:10">
      <c r="A50" s="25">
        <v>49</v>
      </c>
      <c r="B50" s="26">
        <v>0</v>
      </c>
      <c r="C50" s="27" t="s">
        <v>753</v>
      </c>
      <c r="D50" s="26"/>
      <c r="E50" s="26">
        <v>0</v>
      </c>
      <c r="F50" s="26"/>
      <c r="G50" s="26"/>
      <c r="H50" s="26"/>
      <c r="I50" s="26"/>
      <c r="J50" s="28"/>
    </row>
    <row r="51" spans="1:10">
      <c r="A51" s="25">
        <v>50</v>
      </c>
      <c r="B51" s="26">
        <v>0</v>
      </c>
      <c r="C51" s="27" t="s">
        <v>753</v>
      </c>
      <c r="D51" s="26"/>
      <c r="E51" s="26">
        <v>0</v>
      </c>
      <c r="F51" s="26"/>
      <c r="G51" s="26"/>
      <c r="H51" s="26"/>
      <c r="I51" s="26"/>
      <c r="J51" s="28"/>
    </row>
    <row r="52" spans="1:10">
      <c r="A52" s="25">
        <v>51</v>
      </c>
      <c r="B52" s="26">
        <v>0</v>
      </c>
      <c r="C52" s="27" t="s">
        <v>753</v>
      </c>
      <c r="D52" s="26"/>
      <c r="E52" s="26">
        <v>0</v>
      </c>
      <c r="F52" s="26"/>
      <c r="G52" s="26"/>
      <c r="H52" s="26"/>
      <c r="I52" s="26"/>
      <c r="J52" s="28"/>
    </row>
    <row r="53" spans="1:10">
      <c r="A53" s="25">
        <v>52</v>
      </c>
      <c r="B53" s="26">
        <v>0</v>
      </c>
      <c r="C53" s="27" t="s">
        <v>753</v>
      </c>
      <c r="D53" s="26"/>
      <c r="E53" s="26">
        <v>0</v>
      </c>
      <c r="F53" s="26"/>
      <c r="G53" s="26"/>
      <c r="H53" s="26"/>
      <c r="I53" s="26"/>
      <c r="J53" s="28"/>
    </row>
    <row r="54" spans="1:10">
      <c r="A54" s="25">
        <v>53</v>
      </c>
      <c r="B54" s="26">
        <v>0</v>
      </c>
      <c r="C54" s="27" t="s">
        <v>753</v>
      </c>
      <c r="D54" s="26"/>
      <c r="E54" s="26">
        <v>0</v>
      </c>
      <c r="F54" s="26"/>
      <c r="G54" s="26"/>
      <c r="H54" s="26"/>
      <c r="I54" s="26"/>
      <c r="J54" s="28"/>
    </row>
    <row r="55" spans="1:10">
      <c r="A55" s="25">
        <v>54</v>
      </c>
      <c r="B55" s="26">
        <v>0</v>
      </c>
      <c r="C55" s="27" t="s">
        <v>753</v>
      </c>
      <c r="D55" s="26"/>
      <c r="E55" s="26">
        <v>0</v>
      </c>
      <c r="F55" s="26"/>
      <c r="G55" s="26"/>
      <c r="H55" s="26"/>
      <c r="I55" s="26"/>
      <c r="J55" s="28"/>
    </row>
    <row r="56" spans="1:10">
      <c r="A56" s="25">
        <v>55</v>
      </c>
      <c r="B56" s="26">
        <v>0</v>
      </c>
      <c r="C56" s="27" t="s">
        <v>753</v>
      </c>
      <c r="D56" s="26"/>
      <c r="E56" s="26">
        <v>0</v>
      </c>
      <c r="F56" s="26"/>
      <c r="G56" s="26"/>
      <c r="H56" s="26"/>
      <c r="I56" s="26"/>
      <c r="J56" s="28"/>
    </row>
    <row r="57" spans="1:10">
      <c r="A57" s="25">
        <v>56</v>
      </c>
      <c r="B57" s="26">
        <v>0</v>
      </c>
      <c r="C57" s="27" t="s">
        <v>753</v>
      </c>
      <c r="D57" s="26"/>
      <c r="E57" s="26">
        <v>0</v>
      </c>
      <c r="F57" s="26"/>
      <c r="G57" s="26"/>
      <c r="H57" s="26"/>
      <c r="I57" s="26"/>
      <c r="J57" s="28"/>
    </row>
    <row r="58" spans="1:10">
      <c r="A58" s="25">
        <v>57</v>
      </c>
      <c r="B58" s="26">
        <v>0</v>
      </c>
      <c r="C58" s="27" t="s">
        <v>753</v>
      </c>
      <c r="D58" s="26"/>
      <c r="E58" s="26">
        <v>0</v>
      </c>
      <c r="F58" s="26"/>
      <c r="G58" s="26"/>
      <c r="H58" s="26"/>
      <c r="I58" s="26"/>
      <c r="J58" s="28"/>
    </row>
    <row r="59" spans="1:10">
      <c r="A59" s="25">
        <v>58</v>
      </c>
      <c r="B59" s="26">
        <v>0</v>
      </c>
      <c r="C59" s="27" t="s">
        <v>753</v>
      </c>
      <c r="D59" s="26"/>
      <c r="E59" s="26">
        <v>0</v>
      </c>
      <c r="F59" s="26"/>
      <c r="G59" s="26"/>
      <c r="H59" s="26"/>
      <c r="I59" s="26"/>
      <c r="J59" s="28"/>
    </row>
    <row r="60" spans="1:10">
      <c r="A60" s="25">
        <v>59</v>
      </c>
      <c r="B60" s="26">
        <v>0</v>
      </c>
      <c r="C60" s="27" t="s">
        <v>753</v>
      </c>
      <c r="D60" s="26"/>
      <c r="E60" s="26">
        <v>0</v>
      </c>
      <c r="F60" s="26"/>
      <c r="G60" s="26"/>
      <c r="H60" s="26"/>
      <c r="I60" s="26"/>
      <c r="J60" s="28"/>
    </row>
    <row r="61" spans="1:10">
      <c r="A61" s="25">
        <v>60</v>
      </c>
      <c r="B61" s="26">
        <v>0</v>
      </c>
      <c r="C61" s="27" t="s">
        <v>753</v>
      </c>
      <c r="D61" s="26"/>
      <c r="E61" s="26">
        <v>0</v>
      </c>
      <c r="F61" s="26"/>
      <c r="G61" s="26"/>
      <c r="H61" s="26"/>
      <c r="I61" s="26"/>
      <c r="J61" s="28"/>
    </row>
    <row r="62" spans="1:10">
      <c r="A62" s="25">
        <v>61</v>
      </c>
      <c r="B62" s="26">
        <v>0</v>
      </c>
      <c r="C62" s="27" t="s">
        <v>753</v>
      </c>
      <c r="D62" s="26"/>
      <c r="E62" s="26">
        <v>0</v>
      </c>
      <c r="F62" s="26"/>
      <c r="G62" s="26"/>
      <c r="H62" s="26"/>
      <c r="I62" s="26"/>
      <c r="J62" s="28"/>
    </row>
    <row r="63" spans="1:10">
      <c r="A63" s="25">
        <v>62</v>
      </c>
      <c r="B63" s="26">
        <v>0</v>
      </c>
      <c r="C63" s="27" t="s">
        <v>753</v>
      </c>
      <c r="D63" s="26"/>
      <c r="E63" s="26">
        <v>0</v>
      </c>
      <c r="F63" s="26"/>
      <c r="G63" s="26"/>
      <c r="H63" s="26"/>
      <c r="I63" s="26"/>
      <c r="J63" s="28"/>
    </row>
    <row r="64" spans="1:10">
      <c r="A64" s="25">
        <v>63</v>
      </c>
      <c r="B64" s="26">
        <v>0</v>
      </c>
      <c r="C64" s="27" t="s">
        <v>753</v>
      </c>
      <c r="D64" s="26"/>
      <c r="E64" s="26">
        <v>0</v>
      </c>
      <c r="F64" s="26"/>
      <c r="G64" s="26"/>
      <c r="H64" s="26"/>
      <c r="I64" s="26"/>
      <c r="J64" s="28"/>
    </row>
    <row r="65" spans="1:10">
      <c r="A65" s="25">
        <v>64</v>
      </c>
      <c r="B65" s="26">
        <v>0</v>
      </c>
      <c r="C65" s="27" t="s">
        <v>753</v>
      </c>
      <c r="D65" s="26"/>
      <c r="E65" s="26">
        <v>0</v>
      </c>
      <c r="F65" s="26"/>
      <c r="G65" s="26"/>
      <c r="H65" s="26"/>
      <c r="I65" s="26"/>
      <c r="J65" s="28"/>
    </row>
    <row r="66" spans="1:10">
      <c r="A66" s="25">
        <v>65</v>
      </c>
      <c r="B66" s="26">
        <v>0</v>
      </c>
      <c r="C66" s="27" t="s">
        <v>753</v>
      </c>
      <c r="D66" s="26"/>
      <c r="E66" s="26">
        <v>0</v>
      </c>
      <c r="F66" s="26"/>
      <c r="G66" s="26"/>
      <c r="H66" s="26"/>
      <c r="I66" s="26"/>
      <c r="J66" s="28"/>
    </row>
    <row r="67" spans="1:10">
      <c r="A67" s="25">
        <v>66</v>
      </c>
      <c r="B67" s="26">
        <v>0</v>
      </c>
      <c r="C67" s="27" t="s">
        <v>753</v>
      </c>
      <c r="D67" s="26"/>
      <c r="E67" s="26">
        <v>0</v>
      </c>
      <c r="F67" s="26"/>
      <c r="G67" s="26"/>
      <c r="H67" s="26"/>
      <c r="I67" s="26"/>
      <c r="J67" s="28"/>
    </row>
    <row r="68" spans="1:10">
      <c r="A68" s="25">
        <v>67</v>
      </c>
      <c r="B68" s="26">
        <v>0</v>
      </c>
      <c r="C68" s="27" t="s">
        <v>753</v>
      </c>
      <c r="D68" s="26"/>
      <c r="E68" s="26">
        <v>0</v>
      </c>
      <c r="F68" s="26"/>
      <c r="G68" s="26"/>
      <c r="H68" s="26"/>
      <c r="I68" s="26"/>
      <c r="J68" s="28"/>
    </row>
    <row r="69" spans="1:10">
      <c r="A69" s="25">
        <v>68</v>
      </c>
      <c r="B69" s="26">
        <v>0</v>
      </c>
      <c r="C69" s="27" t="s">
        <v>753</v>
      </c>
      <c r="D69" s="26"/>
      <c r="E69" s="26">
        <v>0</v>
      </c>
      <c r="F69" s="26"/>
      <c r="G69" s="26"/>
      <c r="H69" s="26"/>
      <c r="I69" s="26"/>
      <c r="J69" s="28"/>
    </row>
    <row r="70" spans="1:10">
      <c r="A70" s="25">
        <v>69</v>
      </c>
      <c r="B70" s="26">
        <v>0</v>
      </c>
      <c r="C70" s="27" t="s">
        <v>753</v>
      </c>
      <c r="D70" s="26"/>
      <c r="E70" s="26">
        <v>0</v>
      </c>
      <c r="F70" s="26"/>
      <c r="G70" s="26"/>
      <c r="H70" s="26"/>
      <c r="I70" s="26"/>
      <c r="J70" s="28"/>
    </row>
    <row r="71" spans="1:10">
      <c r="A71" s="25">
        <v>70</v>
      </c>
      <c r="B71" s="26">
        <v>0</v>
      </c>
      <c r="C71" s="27" t="s">
        <v>753</v>
      </c>
      <c r="D71" s="26"/>
      <c r="E71" s="26">
        <v>0</v>
      </c>
      <c r="F71" s="26"/>
      <c r="G71" s="26"/>
      <c r="H71" s="26"/>
      <c r="I71" s="26"/>
      <c r="J71" s="28"/>
    </row>
    <row r="72" spans="1:10">
      <c r="A72" s="25">
        <v>71</v>
      </c>
      <c r="B72" s="26">
        <v>0</v>
      </c>
      <c r="C72" s="27" t="s">
        <v>753</v>
      </c>
      <c r="D72" s="26"/>
      <c r="E72" s="26">
        <v>0</v>
      </c>
      <c r="F72" s="26"/>
      <c r="G72" s="26"/>
      <c r="H72" s="26"/>
      <c r="I72" s="26"/>
      <c r="J72" s="28"/>
    </row>
    <row r="73" spans="1:10">
      <c r="A73" s="25">
        <v>72</v>
      </c>
      <c r="B73" s="26">
        <v>0</v>
      </c>
      <c r="C73" s="26"/>
      <c r="D73" s="26"/>
      <c r="E73" s="26">
        <v>0</v>
      </c>
      <c r="F73" s="26"/>
      <c r="G73" s="26"/>
      <c r="H73" s="26"/>
      <c r="I73" s="26"/>
      <c r="J73" s="28"/>
    </row>
  </sheetData>
  <sheetProtection insertColumns="0" insertRows="0" deleteColumns="0" deleteRows="0"/>
  <pageMargins left="0.7" right="0.7" top="0.75" bottom="0.75" header="0.3" footer="0.3"/>
  <pageSetup scale="77" orientation="landscape" horizontalDpi="0" verticalDpi="0" r:id="rId1"/>
  <colBreaks count="1" manualBreakCount="1">
    <brk id="10" max="1048575" man="1"/>
  </col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R77"/>
  <sheetViews>
    <sheetView rightToLeft="1" topLeftCell="B55" zoomScale="90" zoomScaleNormal="90" workbookViewId="0">
      <selection activeCell="F73" sqref="F73"/>
    </sheetView>
  </sheetViews>
  <sheetFormatPr defaultRowHeight="18"/>
  <cols>
    <col min="1" max="1" width="4.1640625" style="20" bestFit="1" customWidth="1"/>
    <col min="2" max="2" width="5.6640625" style="20" bestFit="1" customWidth="1"/>
    <col min="3" max="3" width="8.1640625" style="20" bestFit="1" customWidth="1"/>
    <col min="4" max="4" width="8.08203125" style="20" bestFit="1" customWidth="1"/>
    <col min="5" max="6" width="8.08203125" style="20" customWidth="1"/>
    <col min="7" max="7" width="8.9140625" style="20" bestFit="1" customWidth="1"/>
    <col min="8" max="8" width="7.58203125" style="20" customWidth="1"/>
    <col min="9" max="9" width="7.1640625" style="20" customWidth="1"/>
    <col min="10" max="10" width="14.9140625" style="112" customWidth="1"/>
    <col min="11" max="11" width="11.58203125" style="20" customWidth="1"/>
    <col min="12" max="12" width="8.4140625" style="20" customWidth="1"/>
    <col min="13" max="13" width="6.9140625" style="20" hidden="1" customWidth="1"/>
    <col min="14" max="14" width="7" style="20" hidden="1" customWidth="1"/>
    <col min="15" max="15" width="8.5" style="20" hidden="1" customWidth="1"/>
    <col min="16" max="16" width="10.6640625" style="20" bestFit="1" customWidth="1"/>
    <col min="17" max="17" width="10.1640625" bestFit="1" customWidth="1"/>
  </cols>
  <sheetData>
    <row r="1" spans="1:17" ht="36.75" customHeight="1">
      <c r="A1" s="244" t="s">
        <v>698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</row>
    <row r="2" spans="1:17" s="52" customFormat="1" ht="43.5" customHeight="1">
      <c r="A2" s="49" t="s">
        <v>41</v>
      </c>
      <c r="B2" s="50" t="s">
        <v>40</v>
      </c>
      <c r="C2" s="50" t="s">
        <v>42</v>
      </c>
      <c r="D2" s="50" t="s">
        <v>268</v>
      </c>
      <c r="E2" s="50" t="s">
        <v>506</v>
      </c>
      <c r="F2" s="50" t="s">
        <v>508</v>
      </c>
      <c r="G2" s="50" t="s">
        <v>488</v>
      </c>
      <c r="H2" s="50" t="s">
        <v>46</v>
      </c>
      <c r="I2" s="50" t="s">
        <v>39</v>
      </c>
      <c r="J2" s="111" t="s">
        <v>347</v>
      </c>
      <c r="K2" s="51" t="s">
        <v>417</v>
      </c>
      <c r="L2" s="51" t="s">
        <v>50</v>
      </c>
      <c r="M2" s="51" t="s">
        <v>51</v>
      </c>
      <c r="N2" s="51" t="s">
        <v>316</v>
      </c>
      <c r="O2" s="51" t="s">
        <v>44</v>
      </c>
      <c r="P2" s="51" t="s">
        <v>45</v>
      </c>
      <c r="Q2" s="211" t="s">
        <v>38</v>
      </c>
    </row>
    <row r="3" spans="1:17" s="62" customFormat="1" ht="20.25" customHeight="1">
      <c r="A3" s="59">
        <v>1</v>
      </c>
      <c r="B3" s="60" t="s">
        <v>196</v>
      </c>
      <c r="C3" s="91" t="s">
        <v>495</v>
      </c>
      <c r="D3" s="60"/>
      <c r="E3" s="60"/>
      <c r="F3" s="60"/>
      <c r="G3" s="64"/>
      <c r="H3" s="54" t="s">
        <v>829</v>
      </c>
      <c r="I3" s="60" t="s">
        <v>490</v>
      </c>
      <c r="J3" s="110">
        <v>0</v>
      </c>
      <c r="K3" s="60">
        <v>0</v>
      </c>
      <c r="L3" s="92">
        <f>Table145[[#This Row],[میاشتنی کرایه]]/2</f>
        <v>0</v>
      </c>
      <c r="M3" s="93"/>
      <c r="N3" s="60"/>
      <c r="O3" s="60"/>
      <c r="P3" s="60">
        <v>772349861</v>
      </c>
      <c r="Q3" s="92"/>
    </row>
    <row r="4" spans="1:17" s="62" customFormat="1" ht="20.25" customHeight="1">
      <c r="A4" s="59">
        <v>2</v>
      </c>
      <c r="B4" s="60" t="s">
        <v>197</v>
      </c>
      <c r="C4" s="91" t="s">
        <v>387</v>
      </c>
      <c r="D4" s="213" t="s">
        <v>756</v>
      </c>
      <c r="E4" s="60"/>
      <c r="F4" s="60"/>
      <c r="G4" s="64"/>
      <c r="H4" s="54" t="s">
        <v>829</v>
      </c>
      <c r="I4" s="60" t="s">
        <v>490</v>
      </c>
      <c r="J4" s="110">
        <v>0</v>
      </c>
      <c r="K4" s="60">
        <v>2000</v>
      </c>
      <c r="L4" s="60">
        <v>0</v>
      </c>
      <c r="M4" s="93"/>
      <c r="N4" s="60"/>
      <c r="O4" s="60"/>
      <c r="P4" s="60"/>
      <c r="Q4" s="92" t="s">
        <v>752</v>
      </c>
    </row>
    <row r="5" spans="1:17" s="62" customFormat="1" ht="20.25" customHeight="1">
      <c r="A5" s="59">
        <v>3</v>
      </c>
      <c r="B5" s="60" t="s">
        <v>198</v>
      </c>
      <c r="C5" s="91" t="s">
        <v>387</v>
      </c>
      <c r="D5" s="60"/>
      <c r="E5" s="60"/>
      <c r="F5" s="60"/>
      <c r="G5" s="64"/>
      <c r="H5" s="54" t="s">
        <v>829</v>
      </c>
      <c r="I5" s="60" t="s">
        <v>490</v>
      </c>
      <c r="J5" s="110">
        <v>0</v>
      </c>
      <c r="K5" s="60">
        <v>2000</v>
      </c>
      <c r="L5" s="60">
        <v>0</v>
      </c>
      <c r="M5" s="60"/>
      <c r="N5" s="60"/>
      <c r="O5" s="60"/>
      <c r="P5" s="60"/>
      <c r="Q5" s="92"/>
    </row>
    <row r="6" spans="1:17" s="97" customFormat="1" ht="20.25" customHeight="1">
      <c r="A6" s="95">
        <v>4</v>
      </c>
      <c r="B6" s="96" t="s">
        <v>199</v>
      </c>
      <c r="C6" s="96" t="s">
        <v>477</v>
      </c>
      <c r="D6" s="96" t="s">
        <v>478</v>
      </c>
      <c r="E6" s="96" t="s">
        <v>481</v>
      </c>
      <c r="F6" s="96" t="s">
        <v>535</v>
      </c>
      <c r="G6" s="64">
        <v>690615</v>
      </c>
      <c r="H6" s="54" t="s">
        <v>829</v>
      </c>
      <c r="I6" s="96" t="s">
        <v>490</v>
      </c>
      <c r="J6" s="110">
        <v>500000</v>
      </c>
      <c r="K6" s="96">
        <v>2000</v>
      </c>
      <c r="L6" s="96">
        <f>Table145[[#This Row],[میاشتنی کرایه]]/2</f>
        <v>1000</v>
      </c>
      <c r="M6" s="96"/>
      <c r="N6" s="96"/>
      <c r="O6" s="96"/>
      <c r="P6" s="96"/>
      <c r="Q6" s="209"/>
    </row>
    <row r="7" spans="1:17" s="97" customFormat="1" ht="20.25" customHeight="1">
      <c r="A7" s="95">
        <v>5</v>
      </c>
      <c r="B7" s="96" t="s">
        <v>200</v>
      </c>
      <c r="C7" s="96" t="s">
        <v>477</v>
      </c>
      <c r="D7" s="96" t="s">
        <v>478</v>
      </c>
      <c r="E7" s="96"/>
      <c r="F7" s="96"/>
      <c r="G7" s="64"/>
      <c r="H7" s="54" t="s">
        <v>829</v>
      </c>
      <c r="I7" s="96" t="s">
        <v>490</v>
      </c>
      <c r="J7" s="110">
        <v>0</v>
      </c>
      <c r="K7" s="96">
        <v>2000</v>
      </c>
      <c r="L7" s="96">
        <f>Table145[[#This Row],[میاشتنی کرایه]]/2</f>
        <v>1000</v>
      </c>
      <c r="M7" s="96"/>
      <c r="N7" s="96"/>
      <c r="O7" s="96"/>
      <c r="P7" s="96"/>
      <c r="Q7" s="209"/>
    </row>
    <row r="8" spans="1:17" s="97" customFormat="1" ht="20.25" customHeight="1">
      <c r="A8" s="95">
        <v>6</v>
      </c>
      <c r="B8" s="96" t="s">
        <v>201</v>
      </c>
      <c r="C8" s="96" t="s">
        <v>477</v>
      </c>
      <c r="D8" s="96" t="s">
        <v>478</v>
      </c>
      <c r="E8" s="96"/>
      <c r="F8" s="96"/>
      <c r="G8" s="64"/>
      <c r="H8" s="54" t="s">
        <v>829</v>
      </c>
      <c r="I8" s="96" t="s">
        <v>490</v>
      </c>
      <c r="J8" s="110">
        <v>0</v>
      </c>
      <c r="K8" s="96">
        <v>2000</v>
      </c>
      <c r="L8" s="96">
        <f>Table145[[#This Row],[میاشتنی کرایه]]/2</f>
        <v>1000</v>
      </c>
      <c r="M8" s="96"/>
      <c r="N8" s="96"/>
      <c r="O8" s="96"/>
      <c r="P8" s="96"/>
      <c r="Q8" s="209"/>
    </row>
    <row r="9" spans="1:17" s="67" customFormat="1" ht="20.25" customHeight="1">
      <c r="A9" s="63">
        <v>7</v>
      </c>
      <c r="B9" s="64" t="s">
        <v>202</v>
      </c>
      <c r="C9" s="64" t="s">
        <v>479</v>
      </c>
      <c r="D9" s="64" t="s">
        <v>480</v>
      </c>
      <c r="E9" s="64" t="s">
        <v>589</v>
      </c>
      <c r="F9" s="64" t="s">
        <v>541</v>
      </c>
      <c r="G9" s="64">
        <v>58824</v>
      </c>
      <c r="H9" s="54" t="s">
        <v>829</v>
      </c>
      <c r="I9" s="64" t="s">
        <v>490</v>
      </c>
      <c r="J9" s="110">
        <v>200000</v>
      </c>
      <c r="K9" s="96">
        <v>2000</v>
      </c>
      <c r="L9" s="64">
        <f>Table145[[#This Row],[میاشتنی کرایه]]/2</f>
        <v>1000</v>
      </c>
      <c r="M9" s="64"/>
      <c r="N9" s="64"/>
      <c r="O9" s="64"/>
      <c r="P9" s="64"/>
      <c r="Q9" s="75"/>
    </row>
    <row r="10" spans="1:17" s="67" customFormat="1" ht="20.25" customHeight="1">
      <c r="A10" s="63">
        <v>8</v>
      </c>
      <c r="B10" s="64" t="s">
        <v>203</v>
      </c>
      <c r="C10" s="64" t="s">
        <v>479</v>
      </c>
      <c r="D10" s="64" t="s">
        <v>480</v>
      </c>
      <c r="E10" s="64"/>
      <c r="F10" s="64"/>
      <c r="G10" s="64"/>
      <c r="H10" s="54" t="s">
        <v>829</v>
      </c>
      <c r="I10" s="64" t="s">
        <v>490</v>
      </c>
      <c r="J10" s="110">
        <v>0</v>
      </c>
      <c r="K10" s="96">
        <v>2000</v>
      </c>
      <c r="L10" s="64">
        <f>Table145[[#This Row],[میاشتنی کرایه]]/2</f>
        <v>1000</v>
      </c>
      <c r="M10" s="64"/>
      <c r="N10" s="64"/>
      <c r="O10" s="64"/>
      <c r="P10" s="64"/>
      <c r="Q10" s="75"/>
    </row>
    <row r="11" spans="1:17" s="97" customFormat="1" ht="20.25" customHeight="1">
      <c r="A11" s="95">
        <v>9</v>
      </c>
      <c r="B11" s="96" t="s">
        <v>204</v>
      </c>
      <c r="C11" s="96" t="s">
        <v>481</v>
      </c>
      <c r="D11" s="96"/>
      <c r="E11" s="96"/>
      <c r="F11" s="96"/>
      <c r="G11" s="64"/>
      <c r="H11" s="54" t="s">
        <v>829</v>
      </c>
      <c r="I11" s="96" t="s">
        <v>490</v>
      </c>
      <c r="J11" s="110">
        <v>270000</v>
      </c>
      <c r="K11" s="96">
        <v>2000</v>
      </c>
      <c r="L11" s="96">
        <f>Table145[[#This Row],[میاشتنی کرایه]]/2</f>
        <v>1000</v>
      </c>
      <c r="M11" s="96"/>
      <c r="N11" s="96"/>
      <c r="O11" s="96"/>
      <c r="P11" s="96"/>
      <c r="Q11" s="209"/>
    </row>
    <row r="12" spans="1:17" s="97" customFormat="1" ht="20.25" customHeight="1">
      <c r="A12" s="95">
        <v>10</v>
      </c>
      <c r="B12" s="96" t="s">
        <v>205</v>
      </c>
      <c r="C12" s="96" t="s">
        <v>481</v>
      </c>
      <c r="D12" s="96"/>
      <c r="E12" s="96"/>
      <c r="F12" s="96"/>
      <c r="G12" s="64"/>
      <c r="H12" s="54" t="s">
        <v>829</v>
      </c>
      <c r="I12" s="96" t="s">
        <v>490</v>
      </c>
      <c r="J12" s="110">
        <v>0</v>
      </c>
      <c r="K12" s="96">
        <v>2000</v>
      </c>
      <c r="L12" s="96">
        <f>Table145[[#This Row],[میاشتنی کرایه]]/2</f>
        <v>1000</v>
      </c>
      <c r="M12" s="96"/>
      <c r="N12" s="96"/>
      <c r="O12" s="96"/>
      <c r="P12" s="96"/>
      <c r="Q12" s="209"/>
    </row>
    <row r="13" spans="1:17" s="78" customFormat="1" ht="20.25" customHeight="1">
      <c r="A13" s="76">
        <v>11</v>
      </c>
      <c r="B13" s="77" t="s">
        <v>206</v>
      </c>
      <c r="C13" s="77" t="s">
        <v>484</v>
      </c>
      <c r="D13" s="77" t="s">
        <v>423</v>
      </c>
      <c r="E13" s="77" t="s">
        <v>592</v>
      </c>
      <c r="F13" s="77" t="s">
        <v>547</v>
      </c>
      <c r="G13" s="64">
        <v>20140471</v>
      </c>
      <c r="H13" s="54" t="s">
        <v>829</v>
      </c>
      <c r="I13" s="77" t="s">
        <v>490</v>
      </c>
      <c r="J13" s="110">
        <v>619400</v>
      </c>
      <c r="K13" s="96">
        <v>2000</v>
      </c>
      <c r="L13" s="77">
        <f>Table145[[#This Row],[میاشتنی کرایه]]/2</f>
        <v>1000</v>
      </c>
      <c r="M13" s="77"/>
      <c r="N13" s="77"/>
      <c r="O13" s="77"/>
      <c r="P13" s="77"/>
      <c r="Q13" s="210"/>
    </row>
    <row r="14" spans="1:17" s="78" customFormat="1" ht="20.25" customHeight="1">
      <c r="A14" s="76">
        <v>12</v>
      </c>
      <c r="B14" s="77" t="s">
        <v>207</v>
      </c>
      <c r="C14" s="77" t="s">
        <v>484</v>
      </c>
      <c r="D14" s="77" t="s">
        <v>423</v>
      </c>
      <c r="E14" s="77"/>
      <c r="F14" s="77"/>
      <c r="G14" s="64"/>
      <c r="H14" s="54" t="s">
        <v>829</v>
      </c>
      <c r="I14" s="77" t="s">
        <v>490</v>
      </c>
      <c r="J14" s="110">
        <v>0</v>
      </c>
      <c r="K14" s="96">
        <v>2000</v>
      </c>
      <c r="L14" s="77">
        <f>Table145[[#This Row],[میاشتنی کرایه]]/2</f>
        <v>1000</v>
      </c>
      <c r="M14" s="77"/>
      <c r="N14" s="77"/>
      <c r="O14" s="77"/>
      <c r="P14" s="77"/>
      <c r="Q14" s="210"/>
    </row>
    <row r="15" spans="1:17" s="78" customFormat="1" ht="20.25" customHeight="1">
      <c r="A15" s="76">
        <v>13</v>
      </c>
      <c r="B15" s="77" t="s">
        <v>208</v>
      </c>
      <c r="C15" s="77" t="s">
        <v>484</v>
      </c>
      <c r="D15" s="77" t="s">
        <v>423</v>
      </c>
      <c r="E15" s="77"/>
      <c r="F15" s="77"/>
      <c r="G15" s="64"/>
      <c r="H15" s="54" t="s">
        <v>829</v>
      </c>
      <c r="I15" s="77" t="s">
        <v>490</v>
      </c>
      <c r="J15" s="110">
        <v>0</v>
      </c>
      <c r="K15" s="96">
        <v>2000</v>
      </c>
      <c r="L15" s="77">
        <f>Table145[[#This Row],[میاشتنی کرایه]]/2</f>
        <v>1000</v>
      </c>
      <c r="M15" s="77"/>
      <c r="N15" s="77"/>
      <c r="O15" s="77"/>
      <c r="P15" s="77"/>
      <c r="Q15" s="210"/>
    </row>
    <row r="16" spans="1:17" s="78" customFormat="1" ht="20.25" customHeight="1">
      <c r="A16" s="76">
        <v>14</v>
      </c>
      <c r="B16" s="77" t="s">
        <v>209</v>
      </c>
      <c r="C16" s="77" t="s">
        <v>484</v>
      </c>
      <c r="D16" s="77" t="s">
        <v>423</v>
      </c>
      <c r="E16" s="77"/>
      <c r="F16" s="77"/>
      <c r="G16" s="64"/>
      <c r="H16" s="54" t="s">
        <v>829</v>
      </c>
      <c r="I16" s="77" t="s">
        <v>490</v>
      </c>
      <c r="J16" s="110">
        <v>0</v>
      </c>
      <c r="K16" s="96">
        <v>2000</v>
      </c>
      <c r="L16" s="77">
        <f>Table145[[#This Row],[میاشتنی کرایه]]/2</f>
        <v>1000</v>
      </c>
      <c r="M16" s="77"/>
      <c r="N16" s="77"/>
      <c r="O16" s="77"/>
      <c r="P16" s="77"/>
      <c r="Q16" s="210"/>
    </row>
    <row r="17" spans="1:17" s="12" customFormat="1" ht="20.25" customHeight="1">
      <c r="A17" s="68">
        <v>15</v>
      </c>
      <c r="B17" s="69" t="s">
        <v>210</v>
      </c>
      <c r="C17" s="69" t="s">
        <v>482</v>
      </c>
      <c r="D17" s="69" t="s">
        <v>483</v>
      </c>
      <c r="E17" s="69" t="s">
        <v>590</v>
      </c>
      <c r="F17" s="69" t="s">
        <v>591</v>
      </c>
      <c r="G17" s="64">
        <v>223423</v>
      </c>
      <c r="H17" s="54" t="s">
        <v>829</v>
      </c>
      <c r="I17" s="69" t="s">
        <v>490</v>
      </c>
      <c r="J17" s="110">
        <v>900000</v>
      </c>
      <c r="K17" s="96">
        <v>2000</v>
      </c>
      <c r="L17" s="69">
        <f>Table145[[#This Row],[میاشتنی کرایه]]/2</f>
        <v>1000</v>
      </c>
      <c r="M17" s="69"/>
      <c r="N17" s="69"/>
      <c r="O17" s="69"/>
      <c r="P17" s="69"/>
      <c r="Q17" s="98"/>
    </row>
    <row r="18" spans="1:17" s="12" customFormat="1" ht="20.25" customHeight="1">
      <c r="A18" s="68">
        <v>16</v>
      </c>
      <c r="B18" s="69" t="s">
        <v>211</v>
      </c>
      <c r="C18" s="69" t="s">
        <v>482</v>
      </c>
      <c r="D18" s="69" t="s">
        <v>483</v>
      </c>
      <c r="E18" s="69"/>
      <c r="F18" s="69"/>
      <c r="G18" s="64"/>
      <c r="H18" s="54" t="s">
        <v>829</v>
      </c>
      <c r="I18" s="69" t="s">
        <v>490</v>
      </c>
      <c r="J18" s="110">
        <v>0</v>
      </c>
      <c r="K18" s="96">
        <v>2000</v>
      </c>
      <c r="L18" s="69">
        <f>Table145[[#This Row],[میاشتنی کرایه]]/2</f>
        <v>1000</v>
      </c>
      <c r="M18" s="69"/>
      <c r="N18" s="69"/>
      <c r="O18" s="69"/>
      <c r="P18" s="69"/>
      <c r="Q18" s="98"/>
    </row>
    <row r="19" spans="1:17" s="12" customFormat="1" ht="20.25" customHeight="1">
      <c r="A19" s="68">
        <v>17</v>
      </c>
      <c r="B19" s="69" t="s">
        <v>212</v>
      </c>
      <c r="C19" s="69" t="s">
        <v>482</v>
      </c>
      <c r="D19" s="69" t="s">
        <v>483</v>
      </c>
      <c r="E19" s="69"/>
      <c r="F19" s="69"/>
      <c r="G19" s="64"/>
      <c r="H19" s="54" t="s">
        <v>829</v>
      </c>
      <c r="I19" s="69" t="s">
        <v>490</v>
      </c>
      <c r="J19" s="110">
        <v>0</v>
      </c>
      <c r="K19" s="96">
        <v>2000</v>
      </c>
      <c r="L19" s="69">
        <f>Table145[[#This Row],[میاشتنی کرایه]]/2</f>
        <v>1000</v>
      </c>
      <c r="M19" s="69"/>
      <c r="N19" s="69"/>
      <c r="O19" s="69"/>
      <c r="P19" s="69"/>
      <c r="Q19" s="98"/>
    </row>
    <row r="20" spans="1:17" s="102" customFormat="1" ht="20.25" customHeight="1">
      <c r="A20" s="99">
        <v>18</v>
      </c>
      <c r="B20" s="100" t="s">
        <v>213</v>
      </c>
      <c r="C20" s="100" t="s">
        <v>387</v>
      </c>
      <c r="D20" s="100" t="s">
        <v>494</v>
      </c>
      <c r="E20" s="100" t="s">
        <v>744</v>
      </c>
      <c r="F20" s="100" t="s">
        <v>545</v>
      </c>
      <c r="G20" s="64"/>
      <c r="H20" s="54" t="s">
        <v>829</v>
      </c>
      <c r="I20" s="100" t="s">
        <v>490</v>
      </c>
      <c r="J20" s="110">
        <v>1000000</v>
      </c>
      <c r="K20" s="96">
        <v>2000</v>
      </c>
      <c r="L20" s="100">
        <f>Table145[[#This Row],[میاشتنی کرایه]]/2</f>
        <v>1000</v>
      </c>
      <c r="M20" s="100"/>
      <c r="N20" s="100"/>
      <c r="O20" s="100"/>
      <c r="P20" s="101"/>
      <c r="Q20" s="101"/>
    </row>
    <row r="21" spans="1:17" s="102" customFormat="1" ht="20.25" customHeight="1">
      <c r="A21" s="99">
        <v>19</v>
      </c>
      <c r="B21" s="100" t="s">
        <v>214</v>
      </c>
      <c r="C21" s="100" t="s">
        <v>387</v>
      </c>
      <c r="D21" s="100" t="s">
        <v>494</v>
      </c>
      <c r="E21" s="100" t="s">
        <v>744</v>
      </c>
      <c r="F21" s="100" t="s">
        <v>545</v>
      </c>
      <c r="G21" s="64"/>
      <c r="H21" s="54" t="s">
        <v>829</v>
      </c>
      <c r="I21" s="100" t="s">
        <v>490</v>
      </c>
      <c r="J21" s="110">
        <v>0</v>
      </c>
      <c r="K21" s="96">
        <v>2000</v>
      </c>
      <c r="L21" s="100">
        <f>Table145[[#This Row],[میاشتنی کرایه]]/2</f>
        <v>1000</v>
      </c>
      <c r="M21" s="100"/>
      <c r="N21" s="100"/>
      <c r="O21" s="100"/>
      <c r="P21" s="101"/>
      <c r="Q21" s="101"/>
    </row>
    <row r="22" spans="1:17" s="102" customFormat="1" ht="20.25" customHeight="1">
      <c r="A22" s="99">
        <v>20</v>
      </c>
      <c r="B22" s="100" t="s">
        <v>215</v>
      </c>
      <c r="C22" s="100" t="s">
        <v>387</v>
      </c>
      <c r="D22" s="100" t="s">
        <v>494</v>
      </c>
      <c r="E22" s="100" t="s">
        <v>744</v>
      </c>
      <c r="F22" s="100" t="s">
        <v>545</v>
      </c>
      <c r="G22" s="64"/>
      <c r="H22" s="54" t="s">
        <v>829</v>
      </c>
      <c r="I22" s="100" t="s">
        <v>490</v>
      </c>
      <c r="J22" s="110">
        <v>0</v>
      </c>
      <c r="K22" s="96">
        <v>2000</v>
      </c>
      <c r="L22" s="100">
        <f>Table145[[#This Row],[میاشتنی کرایه]]/2</f>
        <v>1000</v>
      </c>
      <c r="M22" s="100"/>
      <c r="N22" s="100"/>
      <c r="O22" s="100"/>
      <c r="P22" s="101"/>
      <c r="Q22" s="101"/>
    </row>
    <row r="23" spans="1:17" s="102" customFormat="1" ht="20.25" customHeight="1">
      <c r="A23" s="99">
        <v>21</v>
      </c>
      <c r="B23" s="100" t="s">
        <v>216</v>
      </c>
      <c r="C23" s="100" t="s">
        <v>387</v>
      </c>
      <c r="D23" s="100" t="s">
        <v>494</v>
      </c>
      <c r="E23" s="100" t="s">
        <v>744</v>
      </c>
      <c r="F23" s="100" t="s">
        <v>545</v>
      </c>
      <c r="G23" s="64"/>
      <c r="H23" s="54" t="s">
        <v>829</v>
      </c>
      <c r="I23" s="100" t="s">
        <v>490</v>
      </c>
      <c r="J23" s="110">
        <v>0</v>
      </c>
      <c r="K23" s="96">
        <v>2000</v>
      </c>
      <c r="L23" s="100">
        <f>Table145[[#This Row],[میاشتنی کرایه]]/2</f>
        <v>1000</v>
      </c>
      <c r="M23" s="100"/>
      <c r="N23" s="100"/>
      <c r="O23" s="100"/>
      <c r="P23" s="101"/>
      <c r="Q23" s="101"/>
    </row>
    <row r="24" spans="1:17" s="102" customFormat="1" ht="20.25" customHeight="1">
      <c r="A24" s="99">
        <v>22</v>
      </c>
      <c r="B24" s="100" t="s">
        <v>217</v>
      </c>
      <c r="C24" s="100" t="s">
        <v>387</v>
      </c>
      <c r="D24" s="100" t="s">
        <v>494</v>
      </c>
      <c r="E24" s="100" t="s">
        <v>744</v>
      </c>
      <c r="F24" s="100" t="s">
        <v>545</v>
      </c>
      <c r="G24" s="64"/>
      <c r="H24" s="54" t="s">
        <v>829</v>
      </c>
      <c r="I24" s="100" t="s">
        <v>490</v>
      </c>
      <c r="J24" s="110">
        <v>0</v>
      </c>
      <c r="K24" s="96">
        <v>2000</v>
      </c>
      <c r="L24" s="100">
        <f>Table145[[#This Row],[میاشتنی کرایه]]/2</f>
        <v>1000</v>
      </c>
      <c r="M24" s="100"/>
      <c r="N24" s="100"/>
      <c r="O24" s="100"/>
      <c r="P24" s="101"/>
      <c r="Q24" s="101"/>
    </row>
    <row r="25" spans="1:17" s="102" customFormat="1" ht="20.25" customHeight="1">
      <c r="A25" s="99">
        <v>23</v>
      </c>
      <c r="B25" s="100" t="s">
        <v>218</v>
      </c>
      <c r="C25" s="100" t="s">
        <v>387</v>
      </c>
      <c r="D25" s="100" t="s">
        <v>494</v>
      </c>
      <c r="E25" s="100" t="s">
        <v>744</v>
      </c>
      <c r="F25" s="100" t="s">
        <v>545</v>
      </c>
      <c r="G25" s="64"/>
      <c r="H25" s="54" t="s">
        <v>829</v>
      </c>
      <c r="I25" s="100" t="s">
        <v>490</v>
      </c>
      <c r="J25" s="110">
        <v>0</v>
      </c>
      <c r="K25" s="96">
        <v>2000</v>
      </c>
      <c r="L25" s="100">
        <f>Table145[[#This Row],[میاشتنی کرایه]]/2</f>
        <v>1000</v>
      </c>
      <c r="M25" s="100"/>
      <c r="N25" s="100"/>
      <c r="O25" s="100"/>
      <c r="P25" s="101"/>
      <c r="Q25" s="101"/>
    </row>
    <row r="26" spans="1:17" s="12" customFormat="1" ht="20.25" customHeight="1">
      <c r="A26" s="68">
        <v>24</v>
      </c>
      <c r="B26" s="69" t="s">
        <v>219</v>
      </c>
      <c r="C26" s="69" t="s">
        <v>482</v>
      </c>
      <c r="D26" s="69" t="s">
        <v>483</v>
      </c>
      <c r="E26" s="69"/>
      <c r="F26" s="69"/>
      <c r="G26" s="64"/>
      <c r="H26" s="54" t="s">
        <v>829</v>
      </c>
      <c r="I26" s="69" t="s">
        <v>490</v>
      </c>
      <c r="J26" s="110">
        <v>0</v>
      </c>
      <c r="K26" s="96">
        <v>2000</v>
      </c>
      <c r="L26" s="69">
        <f>Table145[[#This Row],[میاشتنی کرایه]]/2</f>
        <v>1000</v>
      </c>
      <c r="M26" s="69"/>
      <c r="N26" s="69"/>
      <c r="O26" s="69"/>
      <c r="P26" s="98"/>
      <c r="Q26" s="98"/>
    </row>
    <row r="27" spans="1:17" s="12" customFormat="1" ht="20.25" customHeight="1">
      <c r="A27" s="68">
        <v>25</v>
      </c>
      <c r="B27" s="69" t="s">
        <v>220</v>
      </c>
      <c r="C27" s="69" t="s">
        <v>482</v>
      </c>
      <c r="D27" s="69" t="s">
        <v>483</v>
      </c>
      <c r="E27" s="69"/>
      <c r="F27" s="69"/>
      <c r="G27" s="64"/>
      <c r="H27" s="54" t="s">
        <v>829</v>
      </c>
      <c r="I27" s="69" t="s">
        <v>490</v>
      </c>
      <c r="J27" s="110">
        <v>0</v>
      </c>
      <c r="K27" s="96">
        <v>2000</v>
      </c>
      <c r="L27" s="69">
        <f>Table145[[#This Row],[میاشتنی کرایه]]/2</f>
        <v>1000</v>
      </c>
      <c r="M27" s="69"/>
      <c r="N27" s="69"/>
      <c r="O27" s="69"/>
      <c r="P27" s="98"/>
      <c r="Q27" s="98"/>
    </row>
    <row r="28" spans="1:17" s="12" customFormat="1" ht="20.25" customHeight="1">
      <c r="A28" s="68">
        <v>26</v>
      </c>
      <c r="B28" s="69" t="s">
        <v>221</v>
      </c>
      <c r="C28" s="69" t="s">
        <v>482</v>
      </c>
      <c r="D28" s="69" t="s">
        <v>483</v>
      </c>
      <c r="E28" s="69"/>
      <c r="F28" s="69"/>
      <c r="G28" s="64"/>
      <c r="H28" s="54" t="s">
        <v>829</v>
      </c>
      <c r="I28" s="69" t="s">
        <v>490</v>
      </c>
      <c r="J28" s="110">
        <v>0</v>
      </c>
      <c r="K28" s="96">
        <v>2000</v>
      </c>
      <c r="L28" s="69">
        <f>Table145[[#This Row],[میاشتنی کرایه]]/2</f>
        <v>1000</v>
      </c>
      <c r="M28" s="69"/>
      <c r="N28" s="69"/>
      <c r="O28" s="69"/>
      <c r="P28" s="98"/>
      <c r="Q28" s="98"/>
    </row>
    <row r="29" spans="1:17" ht="20.25" customHeight="1">
      <c r="A29" s="77">
        <v>27</v>
      </c>
      <c r="B29" s="77" t="s">
        <v>222</v>
      </c>
      <c r="C29" s="77" t="s">
        <v>484</v>
      </c>
      <c r="D29" s="77" t="s">
        <v>423</v>
      </c>
      <c r="E29" s="77"/>
      <c r="F29" s="77"/>
      <c r="G29" s="64"/>
      <c r="H29" s="54" t="s">
        <v>829</v>
      </c>
      <c r="I29" s="77" t="s">
        <v>490</v>
      </c>
      <c r="J29" s="110">
        <v>0</v>
      </c>
      <c r="K29" s="96">
        <v>2000</v>
      </c>
      <c r="L29" s="77">
        <f>Table145[[#This Row],[میاشتنی کرایه]]/2</f>
        <v>1000</v>
      </c>
      <c r="M29" s="77"/>
      <c r="N29" s="77"/>
      <c r="O29" s="77"/>
      <c r="P29" s="77"/>
      <c r="Q29" s="28"/>
    </row>
    <row r="30" spans="1:17" ht="20.25" customHeight="1">
      <c r="A30" s="77">
        <v>28</v>
      </c>
      <c r="B30" s="77" t="s">
        <v>223</v>
      </c>
      <c r="C30" s="77" t="s">
        <v>484</v>
      </c>
      <c r="D30" s="77" t="s">
        <v>423</v>
      </c>
      <c r="E30" s="77"/>
      <c r="F30" s="77"/>
      <c r="G30" s="64"/>
      <c r="H30" s="54" t="s">
        <v>829</v>
      </c>
      <c r="I30" s="77" t="s">
        <v>490</v>
      </c>
      <c r="J30" s="110">
        <v>0</v>
      </c>
      <c r="K30" s="96">
        <v>2000</v>
      </c>
      <c r="L30" s="77">
        <f>Table145[[#This Row],[میاشتنی کرایه]]/2</f>
        <v>1000</v>
      </c>
      <c r="M30" s="77"/>
      <c r="N30" s="77"/>
      <c r="O30" s="77"/>
      <c r="P30" s="77"/>
      <c r="Q30" s="28"/>
    </row>
    <row r="31" spans="1:17" ht="20.25" customHeight="1">
      <c r="A31" s="77">
        <v>29</v>
      </c>
      <c r="B31" s="77" t="s">
        <v>224</v>
      </c>
      <c r="C31" s="77" t="s">
        <v>484</v>
      </c>
      <c r="D31" s="77" t="s">
        <v>423</v>
      </c>
      <c r="E31" s="77"/>
      <c r="F31" s="77"/>
      <c r="G31" s="64"/>
      <c r="H31" s="54" t="s">
        <v>829</v>
      </c>
      <c r="I31" s="77" t="s">
        <v>490</v>
      </c>
      <c r="J31" s="110">
        <v>0</v>
      </c>
      <c r="K31" s="96">
        <v>2000</v>
      </c>
      <c r="L31" s="77">
        <f>Table145[[#This Row],[میاشتنی کرایه]]/2</f>
        <v>1000</v>
      </c>
      <c r="M31" s="77"/>
      <c r="N31" s="77"/>
      <c r="O31" s="77"/>
      <c r="P31" s="77"/>
      <c r="Q31" s="28"/>
    </row>
    <row r="32" spans="1:17" ht="20.25" customHeight="1">
      <c r="A32" s="77">
        <v>30</v>
      </c>
      <c r="B32" s="77" t="s">
        <v>225</v>
      </c>
      <c r="C32" s="77" t="s">
        <v>484</v>
      </c>
      <c r="D32" s="77" t="s">
        <v>423</v>
      </c>
      <c r="E32" s="77"/>
      <c r="F32" s="77"/>
      <c r="G32" s="64"/>
      <c r="H32" s="54" t="s">
        <v>829</v>
      </c>
      <c r="I32" s="77" t="s">
        <v>490</v>
      </c>
      <c r="J32" s="110">
        <v>0</v>
      </c>
      <c r="K32" s="96">
        <v>2000</v>
      </c>
      <c r="L32" s="77">
        <f>Table145[[#This Row],[میاشتنی کرایه]]/2</f>
        <v>1000</v>
      </c>
      <c r="M32" s="77"/>
      <c r="N32" s="77"/>
      <c r="O32" s="77"/>
      <c r="P32" s="77"/>
      <c r="Q32" s="28"/>
    </row>
    <row r="33" spans="1:17" s="102" customFormat="1" ht="20.25" customHeight="1">
      <c r="A33" s="99">
        <v>31</v>
      </c>
      <c r="B33" s="100" t="s">
        <v>226</v>
      </c>
      <c r="C33" s="100" t="s">
        <v>467</v>
      </c>
      <c r="D33" s="100" t="s">
        <v>496</v>
      </c>
      <c r="E33" s="100"/>
      <c r="F33" s="100"/>
      <c r="G33" s="64"/>
      <c r="H33" s="54" t="s">
        <v>829</v>
      </c>
      <c r="I33" s="100" t="s">
        <v>490</v>
      </c>
      <c r="J33" s="110">
        <v>0</v>
      </c>
      <c r="K33" s="96">
        <v>2000</v>
      </c>
      <c r="L33" s="100">
        <v>0</v>
      </c>
      <c r="M33" s="100"/>
      <c r="N33" s="100"/>
      <c r="O33" s="100"/>
      <c r="P33" s="101"/>
      <c r="Q33" s="101"/>
    </row>
    <row r="34" spans="1:17" s="102" customFormat="1" ht="20.25" customHeight="1">
      <c r="A34" s="99">
        <v>32</v>
      </c>
      <c r="B34" s="100" t="s">
        <v>227</v>
      </c>
      <c r="C34" s="100" t="s">
        <v>467</v>
      </c>
      <c r="D34" s="100" t="s">
        <v>496</v>
      </c>
      <c r="E34" s="100"/>
      <c r="F34" s="100"/>
      <c r="G34" s="64"/>
      <c r="H34" s="54" t="s">
        <v>829</v>
      </c>
      <c r="I34" s="100" t="s">
        <v>490</v>
      </c>
      <c r="J34" s="110">
        <v>0</v>
      </c>
      <c r="K34" s="96">
        <v>2000</v>
      </c>
      <c r="L34" s="100">
        <v>0</v>
      </c>
      <c r="M34" s="100"/>
      <c r="N34" s="100"/>
      <c r="O34" s="100"/>
      <c r="P34" s="101"/>
      <c r="Q34" s="101"/>
    </row>
    <row r="35" spans="1:17" s="102" customFormat="1" ht="20.25" customHeight="1">
      <c r="A35" s="99">
        <v>33</v>
      </c>
      <c r="B35" s="100" t="s">
        <v>228</v>
      </c>
      <c r="C35" s="100" t="s">
        <v>467</v>
      </c>
      <c r="D35" s="100" t="s">
        <v>496</v>
      </c>
      <c r="E35" s="100"/>
      <c r="F35" s="100"/>
      <c r="G35" s="64"/>
      <c r="H35" s="54" t="s">
        <v>829</v>
      </c>
      <c r="I35" s="100" t="s">
        <v>490</v>
      </c>
      <c r="J35" s="110">
        <v>0</v>
      </c>
      <c r="K35" s="96">
        <v>2000</v>
      </c>
      <c r="L35" s="100">
        <v>0</v>
      </c>
      <c r="M35" s="100"/>
      <c r="N35" s="100"/>
      <c r="O35" s="100"/>
      <c r="P35" s="101"/>
      <c r="Q35" s="101"/>
    </row>
    <row r="36" spans="1:17" s="102" customFormat="1" ht="20.25" customHeight="1">
      <c r="A36" s="99">
        <v>34</v>
      </c>
      <c r="B36" s="100" t="s">
        <v>229</v>
      </c>
      <c r="C36" s="100" t="s">
        <v>467</v>
      </c>
      <c r="D36" s="100" t="s">
        <v>496</v>
      </c>
      <c r="E36" s="100"/>
      <c r="F36" s="100"/>
      <c r="G36" s="64"/>
      <c r="H36" s="54" t="s">
        <v>829</v>
      </c>
      <c r="I36" s="100" t="s">
        <v>490</v>
      </c>
      <c r="J36" s="110">
        <v>0</v>
      </c>
      <c r="K36" s="96">
        <v>2000</v>
      </c>
      <c r="L36" s="100">
        <v>0</v>
      </c>
      <c r="M36" s="100"/>
      <c r="N36" s="100"/>
      <c r="O36" s="100"/>
      <c r="P36" s="101"/>
      <c r="Q36" s="101"/>
    </row>
    <row r="37" spans="1:17" s="102" customFormat="1" ht="20.25" customHeight="1">
      <c r="A37" s="99">
        <v>35</v>
      </c>
      <c r="B37" s="100" t="s">
        <v>230</v>
      </c>
      <c r="C37" s="100" t="s">
        <v>467</v>
      </c>
      <c r="D37" s="100" t="s">
        <v>496</v>
      </c>
      <c r="E37" s="100"/>
      <c r="F37" s="100"/>
      <c r="G37" s="64"/>
      <c r="H37" s="54" t="s">
        <v>829</v>
      </c>
      <c r="I37" s="100" t="s">
        <v>490</v>
      </c>
      <c r="J37" s="110">
        <v>0</v>
      </c>
      <c r="K37" s="96">
        <v>2000</v>
      </c>
      <c r="L37" s="100">
        <v>0</v>
      </c>
      <c r="M37" s="100"/>
      <c r="N37" s="100"/>
      <c r="O37" s="100"/>
      <c r="P37" s="101"/>
      <c r="Q37" s="101"/>
    </row>
    <row r="38" spans="1:17" s="102" customFormat="1" ht="20.25" customHeight="1">
      <c r="A38" s="167">
        <v>36</v>
      </c>
      <c r="B38" s="168" t="s">
        <v>231</v>
      </c>
      <c r="C38" s="168" t="s">
        <v>467</v>
      </c>
      <c r="D38" s="168" t="s">
        <v>496</v>
      </c>
      <c r="E38" s="168"/>
      <c r="F38" s="168"/>
      <c r="G38" s="64"/>
      <c r="H38" s="54" t="s">
        <v>829</v>
      </c>
      <c r="I38" s="168" t="s">
        <v>490</v>
      </c>
      <c r="J38" s="170">
        <v>0</v>
      </c>
      <c r="K38" s="171">
        <v>2000</v>
      </c>
      <c r="L38" s="168">
        <v>0</v>
      </c>
      <c r="M38" s="100"/>
      <c r="N38" s="100"/>
      <c r="O38" s="100"/>
      <c r="P38" s="101"/>
      <c r="Q38" s="101"/>
    </row>
    <row r="39" spans="1:17" s="12" customFormat="1" ht="20.25" customHeight="1">
      <c r="A39" s="168">
        <v>37</v>
      </c>
      <c r="B39" s="168" t="s">
        <v>232</v>
      </c>
      <c r="C39" s="168" t="s">
        <v>727</v>
      </c>
      <c r="D39" s="168"/>
      <c r="E39" s="168"/>
      <c r="F39" s="168"/>
      <c r="G39" s="64"/>
      <c r="H39" s="54" t="s">
        <v>829</v>
      </c>
      <c r="I39" s="64" t="s">
        <v>490</v>
      </c>
      <c r="J39" s="66">
        <v>600000</v>
      </c>
      <c r="K39" s="64">
        <v>2000</v>
      </c>
      <c r="L39" s="64">
        <f>Table145[[#This Row],[میاشتنی کرایه]]/2</f>
        <v>1000</v>
      </c>
      <c r="M39" s="68"/>
      <c r="N39" s="69"/>
      <c r="O39" s="69"/>
      <c r="P39" s="98"/>
      <c r="Q39" s="98"/>
    </row>
    <row r="40" spans="1:17" s="12" customFormat="1" ht="20.25" customHeight="1">
      <c r="A40" s="168">
        <v>38</v>
      </c>
      <c r="B40" s="168" t="s">
        <v>233</v>
      </c>
      <c r="C40" s="168" t="s">
        <v>727</v>
      </c>
      <c r="D40" s="168"/>
      <c r="E40" s="168"/>
      <c r="F40" s="168"/>
      <c r="G40" s="64"/>
      <c r="H40" s="54" t="s">
        <v>829</v>
      </c>
      <c r="I40" s="64" t="s">
        <v>490</v>
      </c>
      <c r="J40" s="64">
        <v>0</v>
      </c>
      <c r="K40" s="64">
        <v>2000</v>
      </c>
      <c r="L40" s="64">
        <f>Table145[[#This Row],[میاشتنی کرایه]]/2</f>
        <v>1000</v>
      </c>
      <c r="M40" s="68"/>
      <c r="N40" s="69"/>
      <c r="O40" s="69"/>
      <c r="P40" s="98"/>
      <c r="Q40" s="98"/>
    </row>
    <row r="41" spans="1:17" s="12" customFormat="1" ht="20.25" customHeight="1">
      <c r="A41" s="168">
        <v>39</v>
      </c>
      <c r="B41" s="168" t="s">
        <v>234</v>
      </c>
      <c r="C41" s="168" t="s">
        <v>727</v>
      </c>
      <c r="D41" s="168"/>
      <c r="E41" s="168"/>
      <c r="F41" s="168"/>
      <c r="G41" s="64"/>
      <c r="H41" s="54" t="s">
        <v>829</v>
      </c>
      <c r="I41" s="64" t="s">
        <v>490</v>
      </c>
      <c r="J41" s="64">
        <v>0</v>
      </c>
      <c r="K41" s="64">
        <v>2000</v>
      </c>
      <c r="L41" s="64">
        <f>Table145[[#This Row],[میاشتنی کرایه]]/2</f>
        <v>1000</v>
      </c>
      <c r="M41" s="68"/>
      <c r="N41" s="69"/>
      <c r="O41" s="69"/>
      <c r="P41" s="98"/>
      <c r="Q41" s="98"/>
    </row>
    <row r="42" spans="1:17" s="102" customFormat="1" ht="20.25" customHeight="1">
      <c r="A42" s="172">
        <v>40</v>
      </c>
      <c r="B42" s="173" t="s">
        <v>235</v>
      </c>
      <c r="C42" s="100" t="s">
        <v>497</v>
      </c>
      <c r="D42" s="173">
        <v>0</v>
      </c>
      <c r="E42" s="173">
        <v>0</v>
      </c>
      <c r="F42" s="173">
        <v>0</v>
      </c>
      <c r="G42" s="174">
        <v>0</v>
      </c>
      <c r="H42" s="54" t="s">
        <v>829</v>
      </c>
      <c r="I42" s="173" t="s">
        <v>490</v>
      </c>
      <c r="J42" s="175">
        <v>500000</v>
      </c>
      <c r="K42" s="176">
        <v>2000</v>
      </c>
      <c r="L42" s="173">
        <f>Table145[[#This Row],[میاشتنی کرایه]]/2</f>
        <v>1000</v>
      </c>
      <c r="M42" s="100"/>
      <c r="N42" s="100"/>
      <c r="O42" s="100"/>
      <c r="P42" s="101"/>
      <c r="Q42" s="101"/>
    </row>
    <row r="43" spans="1:17" s="102" customFormat="1" ht="20.25" customHeight="1">
      <c r="A43" s="99">
        <v>41</v>
      </c>
      <c r="B43" s="100" t="s">
        <v>236</v>
      </c>
      <c r="C43" s="100" t="s">
        <v>497</v>
      </c>
      <c r="D43" s="100"/>
      <c r="E43" s="100"/>
      <c r="F43" s="100"/>
      <c r="G43" s="64"/>
      <c r="H43" s="54" t="s">
        <v>829</v>
      </c>
      <c r="I43" s="100" t="s">
        <v>490</v>
      </c>
      <c r="J43" s="110">
        <v>0</v>
      </c>
      <c r="K43" s="96">
        <v>2000</v>
      </c>
      <c r="L43" s="100">
        <f>Table145[[#This Row],[میاشتنی کرایه]]/2</f>
        <v>1000</v>
      </c>
      <c r="M43" s="100"/>
      <c r="N43" s="100"/>
      <c r="O43" s="100"/>
      <c r="P43" s="101"/>
      <c r="Q43" s="101"/>
    </row>
    <row r="44" spans="1:17" s="102" customFormat="1" ht="20.25" customHeight="1">
      <c r="A44" s="99">
        <v>42</v>
      </c>
      <c r="B44" s="100" t="s">
        <v>237</v>
      </c>
      <c r="C44" s="100" t="s">
        <v>497</v>
      </c>
      <c r="D44" s="100"/>
      <c r="E44" s="100"/>
      <c r="F44" s="100"/>
      <c r="G44" s="64"/>
      <c r="H44" s="54" t="s">
        <v>829</v>
      </c>
      <c r="I44" s="100" t="s">
        <v>490</v>
      </c>
      <c r="J44" s="110">
        <v>0</v>
      </c>
      <c r="K44" s="96">
        <v>2000</v>
      </c>
      <c r="L44" s="100">
        <f>Table145[[#This Row],[میاشتنی کرایه]]/2</f>
        <v>1000</v>
      </c>
      <c r="M44" s="100"/>
      <c r="N44" s="100"/>
      <c r="O44" s="100"/>
      <c r="P44" s="101"/>
      <c r="Q44" s="101"/>
    </row>
    <row r="45" spans="1:17" s="102" customFormat="1" ht="20.25" customHeight="1">
      <c r="A45" s="99">
        <v>43</v>
      </c>
      <c r="B45" s="100" t="s">
        <v>238</v>
      </c>
      <c r="C45" s="100" t="s">
        <v>497</v>
      </c>
      <c r="D45" s="100"/>
      <c r="E45" s="100"/>
      <c r="F45" s="100"/>
      <c r="G45" s="64"/>
      <c r="H45" s="54" t="s">
        <v>829</v>
      </c>
      <c r="I45" s="100" t="s">
        <v>490</v>
      </c>
      <c r="J45" s="110">
        <v>0</v>
      </c>
      <c r="K45" s="96">
        <v>2000</v>
      </c>
      <c r="L45" s="100">
        <f>Table145[[#This Row],[میاشتنی کرایه]]/2</f>
        <v>1000</v>
      </c>
      <c r="M45" s="100"/>
      <c r="N45" s="100"/>
      <c r="O45" s="100"/>
      <c r="P45" s="101"/>
      <c r="Q45" s="101"/>
    </row>
    <row r="46" spans="1:17" s="102" customFormat="1" ht="20.25" customHeight="1">
      <c r="A46" s="99">
        <v>44</v>
      </c>
      <c r="B46" s="100" t="s">
        <v>239</v>
      </c>
      <c r="C46" s="100" t="s">
        <v>497</v>
      </c>
      <c r="D46" s="100"/>
      <c r="E46" s="100"/>
      <c r="F46" s="100"/>
      <c r="G46" s="64"/>
      <c r="H46" s="54" t="s">
        <v>829</v>
      </c>
      <c r="I46" s="100" t="s">
        <v>490</v>
      </c>
      <c r="J46" s="110">
        <v>0</v>
      </c>
      <c r="K46" s="96">
        <v>2000</v>
      </c>
      <c r="L46" s="100">
        <f>Table145[[#This Row],[میاشتنی کرایه]]/2</f>
        <v>1000</v>
      </c>
      <c r="M46" s="100"/>
      <c r="N46" s="100"/>
      <c r="O46" s="100"/>
      <c r="P46" s="101"/>
      <c r="Q46" s="101"/>
    </row>
    <row r="47" spans="1:17" s="102" customFormat="1" ht="20.25" customHeight="1">
      <c r="A47" s="99">
        <v>45</v>
      </c>
      <c r="B47" s="100" t="s">
        <v>240</v>
      </c>
      <c r="C47" s="100" t="s">
        <v>497</v>
      </c>
      <c r="D47" s="100"/>
      <c r="E47" s="100"/>
      <c r="F47" s="100"/>
      <c r="G47" s="64"/>
      <c r="H47" s="54" t="s">
        <v>829</v>
      </c>
      <c r="I47" s="100" t="s">
        <v>490</v>
      </c>
      <c r="J47" s="110">
        <v>0</v>
      </c>
      <c r="K47" s="96">
        <v>2000</v>
      </c>
      <c r="L47" s="100">
        <f>Table145[[#This Row],[میاشتنی کرایه]]/2</f>
        <v>1000</v>
      </c>
      <c r="M47" s="100"/>
      <c r="N47" s="100"/>
      <c r="O47" s="100"/>
      <c r="P47" s="101"/>
      <c r="Q47" s="101"/>
    </row>
    <row r="48" spans="1:17" s="102" customFormat="1" ht="20.25" customHeight="1">
      <c r="A48" s="99">
        <v>46</v>
      </c>
      <c r="B48" s="100" t="s">
        <v>241</v>
      </c>
      <c r="C48" s="100" t="s">
        <v>497</v>
      </c>
      <c r="D48" s="100"/>
      <c r="E48" s="100"/>
      <c r="F48" s="100"/>
      <c r="G48" s="64"/>
      <c r="H48" s="54" t="s">
        <v>829</v>
      </c>
      <c r="I48" s="100" t="s">
        <v>490</v>
      </c>
      <c r="J48" s="110">
        <v>0</v>
      </c>
      <c r="K48" s="96">
        <v>2000</v>
      </c>
      <c r="L48" s="100">
        <f>Table145[[#This Row],[میاشتنی کرایه]]/2</f>
        <v>1000</v>
      </c>
      <c r="M48" s="100"/>
      <c r="N48" s="100"/>
      <c r="O48" s="100"/>
      <c r="P48" s="101"/>
      <c r="Q48" s="101"/>
    </row>
    <row r="49" spans="1:18" s="102" customFormat="1" ht="20.25" customHeight="1">
      <c r="A49" s="167">
        <v>47</v>
      </c>
      <c r="B49" s="168" t="s">
        <v>242</v>
      </c>
      <c r="C49" s="168" t="s">
        <v>497</v>
      </c>
      <c r="D49" s="168"/>
      <c r="E49" s="168"/>
      <c r="F49" s="168"/>
      <c r="G49" s="169"/>
      <c r="H49" s="54" t="s">
        <v>829</v>
      </c>
      <c r="I49" s="168" t="s">
        <v>490</v>
      </c>
      <c r="J49" s="170">
        <v>0</v>
      </c>
      <c r="K49" s="171">
        <v>2000</v>
      </c>
      <c r="L49" s="168">
        <f>Table145[[#This Row],[میاشتنی کرایه]]/2</f>
        <v>1000</v>
      </c>
      <c r="M49" s="100"/>
      <c r="N49" s="100"/>
      <c r="O49" s="100"/>
      <c r="P49" s="101"/>
      <c r="Q49" s="101"/>
    </row>
    <row r="50" spans="1:18" ht="20.25" customHeight="1">
      <c r="A50" s="168">
        <v>48</v>
      </c>
      <c r="B50" s="168" t="s">
        <v>243</v>
      </c>
      <c r="C50" s="168" t="s">
        <v>727</v>
      </c>
      <c r="D50" s="168"/>
      <c r="E50" s="168"/>
      <c r="F50" s="168"/>
      <c r="G50" s="64"/>
      <c r="H50" s="54" t="s">
        <v>829</v>
      </c>
      <c r="I50" s="64" t="s">
        <v>490</v>
      </c>
      <c r="J50" s="64">
        <v>0</v>
      </c>
      <c r="K50" s="64">
        <v>2000</v>
      </c>
      <c r="L50" s="64">
        <f>Table145[[#This Row],[میاشتنی کرایه]]/2</f>
        <v>1000</v>
      </c>
      <c r="M50" s="68"/>
      <c r="N50" s="69"/>
      <c r="O50" s="69"/>
      <c r="P50" s="69"/>
      <c r="Q50" s="69"/>
      <c r="R50" s="69"/>
    </row>
    <row r="51" spans="1:18" ht="20.25" customHeight="1">
      <c r="A51" s="168">
        <v>49</v>
      </c>
      <c r="B51" s="168" t="s">
        <v>244</v>
      </c>
      <c r="C51" s="168" t="s">
        <v>727</v>
      </c>
      <c r="D51" s="168"/>
      <c r="E51" s="168"/>
      <c r="F51" s="168"/>
      <c r="G51" s="64"/>
      <c r="H51" s="54" t="s">
        <v>829</v>
      </c>
      <c r="I51" s="64" t="s">
        <v>490</v>
      </c>
      <c r="J51" s="64">
        <v>0</v>
      </c>
      <c r="K51" s="64">
        <v>2000</v>
      </c>
      <c r="L51" s="64">
        <f>Table145[[#This Row],[میاشتنی کرایه]]/2</f>
        <v>1000</v>
      </c>
      <c r="M51" s="68"/>
      <c r="N51" s="69"/>
      <c r="O51" s="69"/>
      <c r="P51" s="69"/>
      <c r="Q51" s="69"/>
      <c r="R51" s="69"/>
    </row>
    <row r="52" spans="1:18" ht="20.25" customHeight="1">
      <c r="A52" s="168">
        <v>50</v>
      </c>
      <c r="B52" s="168" t="s">
        <v>245</v>
      </c>
      <c r="C52" s="168" t="s">
        <v>727</v>
      </c>
      <c r="D52" s="168"/>
      <c r="E52" s="168"/>
      <c r="F52" s="168"/>
      <c r="G52" s="64"/>
      <c r="H52" s="54" t="s">
        <v>829</v>
      </c>
      <c r="I52" s="64" t="s">
        <v>490</v>
      </c>
      <c r="J52" s="64">
        <v>0</v>
      </c>
      <c r="K52" s="64">
        <v>2000</v>
      </c>
      <c r="L52" s="64">
        <f>Table145[[#This Row],[میاشتنی کرایه]]/2</f>
        <v>1000</v>
      </c>
      <c r="M52" s="68"/>
      <c r="N52" s="69"/>
      <c r="O52" s="69"/>
      <c r="P52" s="69"/>
      <c r="Q52" s="69"/>
      <c r="R52" s="69"/>
    </row>
    <row r="53" spans="1:18" s="84" customFormat="1" ht="20.25" customHeight="1">
      <c r="A53" s="177">
        <v>51</v>
      </c>
      <c r="B53" s="178" t="s">
        <v>246</v>
      </c>
      <c r="C53" s="178" t="s">
        <v>485</v>
      </c>
      <c r="D53" s="178" t="s">
        <v>486</v>
      </c>
      <c r="E53" s="178" t="s">
        <v>593</v>
      </c>
      <c r="F53" s="178" t="s">
        <v>541</v>
      </c>
      <c r="G53" s="64">
        <v>49506</v>
      </c>
      <c r="H53" s="54" t="s">
        <v>829</v>
      </c>
      <c r="I53" s="178" t="s">
        <v>490</v>
      </c>
      <c r="J53" s="175" t="s">
        <v>745</v>
      </c>
      <c r="K53" s="176">
        <v>2000</v>
      </c>
      <c r="L53" s="178">
        <f>Table145[[#This Row],[میاشتنی کرایه]]/2</f>
        <v>1000</v>
      </c>
      <c r="M53" s="69">
        <v>4500</v>
      </c>
      <c r="N53" s="69">
        <v>80</v>
      </c>
      <c r="O53" s="80"/>
      <c r="P53" s="83">
        <f>3500*70</f>
        <v>245000</v>
      </c>
      <c r="Q53" s="83"/>
    </row>
    <row r="54" spans="1:18" s="84" customFormat="1" ht="20.25" customHeight="1">
      <c r="A54" s="79">
        <v>52</v>
      </c>
      <c r="B54" s="80" t="s">
        <v>247</v>
      </c>
      <c r="C54" s="80" t="s">
        <v>485</v>
      </c>
      <c r="D54" s="80" t="s">
        <v>486</v>
      </c>
      <c r="E54" s="80"/>
      <c r="F54" s="80"/>
      <c r="G54" s="64"/>
      <c r="H54" s="54" t="s">
        <v>829</v>
      </c>
      <c r="I54" s="80" t="s">
        <v>490</v>
      </c>
      <c r="J54" s="110">
        <v>0</v>
      </c>
      <c r="K54" s="96">
        <v>2000</v>
      </c>
      <c r="L54" s="80">
        <f>Table145[[#This Row],[میاشتنی کرایه]]/2</f>
        <v>1000</v>
      </c>
      <c r="M54" s="80"/>
      <c r="N54" s="80"/>
      <c r="O54" s="80"/>
      <c r="P54" s="83"/>
      <c r="Q54" s="83"/>
    </row>
    <row r="55" spans="1:18" s="84" customFormat="1" ht="20.25" customHeight="1">
      <c r="A55" s="79">
        <v>53</v>
      </c>
      <c r="B55" s="80" t="s">
        <v>248</v>
      </c>
      <c r="C55" s="80" t="s">
        <v>485</v>
      </c>
      <c r="D55" s="80" t="s">
        <v>486</v>
      </c>
      <c r="E55" s="80"/>
      <c r="F55" s="80"/>
      <c r="G55" s="64"/>
      <c r="H55" s="54" t="s">
        <v>829</v>
      </c>
      <c r="I55" s="80" t="s">
        <v>490</v>
      </c>
      <c r="J55" s="110">
        <v>0</v>
      </c>
      <c r="K55" s="96">
        <v>2000</v>
      </c>
      <c r="L55" s="80">
        <f>Table145[[#This Row],[میاشتنی کرایه]]/2</f>
        <v>1000</v>
      </c>
      <c r="M55" s="80"/>
      <c r="N55" s="80"/>
      <c r="O55" s="80"/>
      <c r="P55" s="83"/>
      <c r="Q55" s="83"/>
    </row>
    <row r="56" spans="1:18" s="12" customFormat="1" ht="20.25" customHeight="1">
      <c r="A56" s="68">
        <v>54</v>
      </c>
      <c r="B56" s="69" t="s">
        <v>249</v>
      </c>
      <c r="C56" s="69" t="s">
        <v>321</v>
      </c>
      <c r="D56" s="69" t="s">
        <v>278</v>
      </c>
      <c r="E56" s="69" t="s">
        <v>524</v>
      </c>
      <c r="F56" s="69" t="s">
        <v>571</v>
      </c>
      <c r="G56" s="64">
        <v>45318</v>
      </c>
      <c r="H56" s="54" t="s">
        <v>829</v>
      </c>
      <c r="I56" s="69" t="s">
        <v>490</v>
      </c>
      <c r="J56" s="110">
        <v>600000</v>
      </c>
      <c r="K56" s="96">
        <v>2000</v>
      </c>
      <c r="L56" s="69">
        <f>Table145[[#This Row],[میاشتنی کرایه]]/2</f>
        <v>1000</v>
      </c>
      <c r="M56" s="69"/>
      <c r="N56" s="69"/>
      <c r="O56" s="69"/>
      <c r="P56" s="98"/>
      <c r="Q56" s="98"/>
    </row>
    <row r="57" spans="1:18" s="12" customFormat="1" ht="20.25" customHeight="1">
      <c r="A57" s="68">
        <v>55</v>
      </c>
      <c r="B57" s="69" t="s">
        <v>250</v>
      </c>
      <c r="C57" s="69" t="s">
        <v>321</v>
      </c>
      <c r="D57" s="69" t="s">
        <v>278</v>
      </c>
      <c r="E57" s="69"/>
      <c r="F57" s="69"/>
      <c r="G57" s="64"/>
      <c r="H57" s="54" t="s">
        <v>829</v>
      </c>
      <c r="I57" s="69" t="s">
        <v>490</v>
      </c>
      <c r="J57" s="110">
        <v>0</v>
      </c>
      <c r="K57" s="96">
        <v>2000</v>
      </c>
      <c r="L57" s="69">
        <f>Table145[[#This Row],[میاشتنی کرایه]]/2</f>
        <v>1000</v>
      </c>
      <c r="M57" s="69"/>
      <c r="N57" s="69"/>
      <c r="O57" s="69"/>
      <c r="P57" s="98"/>
      <c r="Q57" s="98"/>
    </row>
    <row r="58" spans="1:18" s="12" customFormat="1" ht="20.25" customHeight="1">
      <c r="A58" s="68">
        <v>56</v>
      </c>
      <c r="B58" s="69" t="s">
        <v>251</v>
      </c>
      <c r="C58" s="69" t="s">
        <v>321</v>
      </c>
      <c r="D58" s="69" t="s">
        <v>278</v>
      </c>
      <c r="E58" s="69"/>
      <c r="F58" s="69"/>
      <c r="G58" s="64"/>
      <c r="H58" s="54" t="s">
        <v>829</v>
      </c>
      <c r="I58" s="69" t="s">
        <v>490</v>
      </c>
      <c r="J58" s="110">
        <v>0</v>
      </c>
      <c r="K58" s="96">
        <v>2000</v>
      </c>
      <c r="L58" s="69">
        <f>Table145[[#This Row],[میاشتنی کرایه]]/2</f>
        <v>1000</v>
      </c>
      <c r="M58" s="69"/>
      <c r="N58" s="69"/>
      <c r="O58" s="69"/>
      <c r="P58" s="98"/>
      <c r="Q58" s="98"/>
    </row>
    <row r="59" spans="1:18" s="12" customFormat="1" ht="20.25" customHeight="1">
      <c r="A59" s="68">
        <v>57</v>
      </c>
      <c r="B59" s="69" t="s">
        <v>252</v>
      </c>
      <c r="C59" s="69" t="s">
        <v>321</v>
      </c>
      <c r="D59" s="69" t="s">
        <v>278</v>
      </c>
      <c r="E59" s="69"/>
      <c r="F59" s="69"/>
      <c r="G59" s="64"/>
      <c r="H59" s="54" t="s">
        <v>829</v>
      </c>
      <c r="I59" s="69" t="s">
        <v>490</v>
      </c>
      <c r="J59" s="110">
        <v>0</v>
      </c>
      <c r="K59" s="96">
        <v>2000</v>
      </c>
      <c r="L59" s="69">
        <f>Table145[[#This Row],[میاشتنی کرایه]]/2</f>
        <v>1000</v>
      </c>
      <c r="M59" s="69"/>
      <c r="N59" s="69"/>
      <c r="O59" s="69"/>
      <c r="P59" s="98"/>
      <c r="Q59" s="98"/>
    </row>
    <row r="60" spans="1:18" s="12" customFormat="1" ht="20.25" customHeight="1">
      <c r="A60" s="68">
        <v>58</v>
      </c>
      <c r="B60" s="69" t="s">
        <v>253</v>
      </c>
      <c r="C60" s="69" t="s">
        <v>321</v>
      </c>
      <c r="D60" s="69" t="s">
        <v>278</v>
      </c>
      <c r="E60" s="69"/>
      <c r="F60" s="69"/>
      <c r="G60" s="64"/>
      <c r="H60" s="54" t="s">
        <v>829</v>
      </c>
      <c r="I60" s="69" t="s">
        <v>490</v>
      </c>
      <c r="J60" s="110">
        <v>0</v>
      </c>
      <c r="K60" s="96">
        <v>2000</v>
      </c>
      <c r="L60" s="69">
        <f>Table145[[#This Row],[میاشتنی کرایه]]/2</f>
        <v>1000</v>
      </c>
      <c r="M60" s="69"/>
      <c r="N60" s="69"/>
      <c r="O60" s="69"/>
      <c r="P60" s="98"/>
      <c r="Q60" s="98"/>
    </row>
    <row r="61" spans="1:18" s="12" customFormat="1" ht="20.25" customHeight="1">
      <c r="A61" s="68">
        <v>59</v>
      </c>
      <c r="B61" s="69" t="s">
        <v>254</v>
      </c>
      <c r="C61" s="69" t="s">
        <v>321</v>
      </c>
      <c r="D61" s="69" t="s">
        <v>278</v>
      </c>
      <c r="E61" s="69"/>
      <c r="F61" s="69"/>
      <c r="G61" s="64"/>
      <c r="H61" s="54" t="s">
        <v>829</v>
      </c>
      <c r="I61" s="69" t="s">
        <v>490</v>
      </c>
      <c r="J61" s="110">
        <v>0</v>
      </c>
      <c r="K61" s="96">
        <v>2000</v>
      </c>
      <c r="L61" s="69">
        <f>Table145[[#This Row],[میاشتنی کرایه]]/2</f>
        <v>1000</v>
      </c>
      <c r="M61" s="69"/>
      <c r="N61" s="69"/>
      <c r="O61" s="69"/>
      <c r="P61" s="98"/>
      <c r="Q61" s="98"/>
    </row>
    <row r="62" spans="1:18" s="12" customFormat="1" ht="20.25" customHeight="1" thickBot="1">
      <c r="A62" s="179">
        <v>60</v>
      </c>
      <c r="B62" s="180" t="s">
        <v>255</v>
      </c>
      <c r="C62" s="180" t="s">
        <v>321</v>
      </c>
      <c r="D62" s="180" t="s">
        <v>278</v>
      </c>
      <c r="E62" s="180"/>
      <c r="F62" s="180"/>
      <c r="G62" s="169"/>
      <c r="H62" s="54" t="s">
        <v>829</v>
      </c>
      <c r="I62" s="180" t="s">
        <v>490</v>
      </c>
      <c r="J62" s="170">
        <v>0</v>
      </c>
      <c r="K62" s="171">
        <v>2000</v>
      </c>
      <c r="L62" s="180">
        <f>Table145[[#This Row],[میاشتنی کرایه]]/2</f>
        <v>1000</v>
      </c>
      <c r="M62" s="69"/>
      <c r="N62" s="69"/>
      <c r="O62" s="69"/>
      <c r="P62" s="98"/>
      <c r="Q62" s="98"/>
    </row>
    <row r="63" spans="1:18" ht="20.25" customHeight="1" thickBot="1">
      <c r="A63" s="196">
        <v>61</v>
      </c>
      <c r="B63" s="197" t="s">
        <v>256</v>
      </c>
      <c r="C63" s="197" t="s">
        <v>819</v>
      </c>
      <c r="D63" s="197"/>
      <c r="E63" s="197"/>
      <c r="F63" s="197"/>
      <c r="G63" s="197"/>
      <c r="H63" s="54" t="s">
        <v>829</v>
      </c>
      <c r="I63" s="197" t="s">
        <v>746</v>
      </c>
      <c r="J63" s="198">
        <v>0</v>
      </c>
      <c r="K63" s="60">
        <v>1000</v>
      </c>
      <c r="L63" s="199">
        <v>0</v>
      </c>
      <c r="M63" s="25"/>
      <c r="N63" s="26"/>
      <c r="O63" s="26"/>
      <c r="P63" s="28"/>
      <c r="Q63" s="28"/>
    </row>
    <row r="64" spans="1:18" ht="20.25" customHeight="1" thickBot="1">
      <c r="A64" s="200">
        <v>62</v>
      </c>
      <c r="B64" s="201" t="s">
        <v>257</v>
      </c>
      <c r="C64" s="201" t="s">
        <v>747</v>
      </c>
      <c r="D64" s="201"/>
      <c r="E64" s="201"/>
      <c r="F64" s="201"/>
      <c r="G64" s="201"/>
      <c r="H64" s="54" t="s">
        <v>829</v>
      </c>
      <c r="I64" s="197" t="s">
        <v>746</v>
      </c>
      <c r="J64" s="202">
        <v>10000</v>
      </c>
      <c r="K64" s="201">
        <v>500</v>
      </c>
      <c r="L64" s="203">
        <f>Table145[[#This Row],[میاشتنی کرایه]]/2</f>
        <v>250</v>
      </c>
      <c r="M64" s="25"/>
      <c r="N64" s="26"/>
      <c r="O64" s="26"/>
      <c r="P64" s="28"/>
      <c r="Q64" s="28"/>
    </row>
    <row r="65" spans="1:17" ht="20.25" customHeight="1" thickBot="1">
      <c r="A65" s="200">
        <v>63</v>
      </c>
      <c r="B65" s="201" t="s">
        <v>258</v>
      </c>
      <c r="C65" s="201" t="s">
        <v>747</v>
      </c>
      <c r="D65" s="201"/>
      <c r="E65" s="201"/>
      <c r="F65" s="201"/>
      <c r="G65" s="201"/>
      <c r="H65" s="54" t="s">
        <v>829</v>
      </c>
      <c r="I65" s="197" t="s">
        <v>746</v>
      </c>
      <c r="J65" s="202">
        <v>10000</v>
      </c>
      <c r="K65" s="201">
        <v>500</v>
      </c>
      <c r="L65" s="203">
        <f>Table145[[#This Row],[میاشتنی کرایه]]/2</f>
        <v>250</v>
      </c>
      <c r="M65" s="25"/>
      <c r="N65" s="26"/>
      <c r="O65" s="26"/>
      <c r="P65" s="28"/>
      <c r="Q65" s="28"/>
    </row>
    <row r="66" spans="1:17" ht="20.25" customHeight="1" thickBot="1">
      <c r="A66" s="200">
        <v>64</v>
      </c>
      <c r="B66" s="201" t="s">
        <v>259</v>
      </c>
      <c r="C66" s="201" t="s">
        <v>374</v>
      </c>
      <c r="D66" s="201"/>
      <c r="E66" s="201"/>
      <c r="F66" s="201"/>
      <c r="G66" s="201"/>
      <c r="H66" s="54" t="s">
        <v>829</v>
      </c>
      <c r="I66" s="197" t="s">
        <v>746</v>
      </c>
      <c r="J66" s="202">
        <v>10000</v>
      </c>
      <c r="K66" s="201">
        <v>500</v>
      </c>
      <c r="L66" s="203">
        <f>Table145[[#This Row],[میاشتنی کرایه]]/2</f>
        <v>250</v>
      </c>
      <c r="M66" s="25"/>
      <c r="N66" s="26"/>
      <c r="O66" s="26"/>
      <c r="P66" s="28"/>
      <c r="Q66" s="28"/>
    </row>
    <row r="67" spans="1:17" ht="20.25" customHeight="1" thickBot="1">
      <c r="A67" s="200">
        <v>65</v>
      </c>
      <c r="B67" s="201" t="s">
        <v>260</v>
      </c>
      <c r="C67" s="201" t="s">
        <v>748</v>
      </c>
      <c r="D67" s="26"/>
      <c r="E67" s="201"/>
      <c r="F67" s="201"/>
      <c r="G67" s="201"/>
      <c r="H67" s="54" t="s">
        <v>829</v>
      </c>
      <c r="I67" s="197" t="s">
        <v>746</v>
      </c>
      <c r="J67" s="202">
        <v>0</v>
      </c>
      <c r="K67" s="201">
        <v>500</v>
      </c>
      <c r="L67" s="203">
        <v>0</v>
      </c>
      <c r="M67" s="25"/>
      <c r="N67" s="26"/>
      <c r="O67" s="26"/>
      <c r="P67" s="28"/>
      <c r="Q67" s="28"/>
    </row>
    <row r="68" spans="1:17" ht="20.25" customHeight="1" thickBot="1">
      <c r="A68" s="200">
        <v>66</v>
      </c>
      <c r="B68" s="201" t="s">
        <v>261</v>
      </c>
      <c r="C68" s="201" t="s">
        <v>749</v>
      </c>
      <c r="D68" s="216" t="s">
        <v>763</v>
      </c>
      <c r="E68" s="201"/>
      <c r="F68" s="201"/>
      <c r="G68" s="201"/>
      <c r="H68" s="54" t="s">
        <v>829</v>
      </c>
      <c r="I68" s="197" t="s">
        <v>746</v>
      </c>
      <c r="J68" s="202">
        <v>0</v>
      </c>
      <c r="K68" s="201">
        <v>500</v>
      </c>
      <c r="L68" s="203">
        <v>0</v>
      </c>
      <c r="M68" s="25"/>
      <c r="N68" s="26"/>
      <c r="O68" s="26"/>
      <c r="P68" s="28"/>
      <c r="Q68" s="28"/>
    </row>
    <row r="69" spans="1:17" ht="20.25" customHeight="1" thickBot="1">
      <c r="A69" s="200">
        <v>67</v>
      </c>
      <c r="B69" s="201" t="s">
        <v>262</v>
      </c>
      <c r="C69" s="201" t="s">
        <v>749</v>
      </c>
      <c r="D69" s="217" t="s">
        <v>762</v>
      </c>
      <c r="E69" s="201"/>
      <c r="F69" s="201"/>
      <c r="G69" s="201"/>
      <c r="H69" s="54" t="s">
        <v>829</v>
      </c>
      <c r="I69" s="197" t="s">
        <v>746</v>
      </c>
      <c r="J69" s="202">
        <v>0</v>
      </c>
      <c r="K69" s="201">
        <v>500</v>
      </c>
      <c r="L69" s="203">
        <v>0</v>
      </c>
      <c r="M69" s="25"/>
      <c r="N69" s="26"/>
      <c r="O69" s="26"/>
      <c r="P69" s="28"/>
      <c r="Q69" s="28"/>
    </row>
    <row r="70" spans="1:17" ht="20.25" customHeight="1" thickBot="1">
      <c r="A70" s="200">
        <v>68</v>
      </c>
      <c r="B70" s="201" t="s">
        <v>263</v>
      </c>
      <c r="C70" s="201" t="s">
        <v>484</v>
      </c>
      <c r="D70" s="201"/>
      <c r="E70" s="201"/>
      <c r="F70" s="201"/>
      <c r="G70" s="201"/>
      <c r="H70" s="54" t="s">
        <v>829</v>
      </c>
      <c r="I70" s="197" t="s">
        <v>746</v>
      </c>
      <c r="J70" s="202">
        <v>0</v>
      </c>
      <c r="K70" s="201">
        <v>500</v>
      </c>
      <c r="L70" s="203">
        <v>0</v>
      </c>
      <c r="M70" s="25"/>
      <c r="N70" s="26"/>
      <c r="O70" s="26"/>
      <c r="P70" s="28"/>
      <c r="Q70" s="28"/>
    </row>
    <row r="71" spans="1:17" ht="20.25" customHeight="1" thickBot="1">
      <c r="A71" s="200">
        <v>69</v>
      </c>
      <c r="B71" s="201" t="s">
        <v>264</v>
      </c>
      <c r="C71" s="201" t="s">
        <v>484</v>
      </c>
      <c r="D71" s="201"/>
      <c r="E71" s="201"/>
      <c r="F71" s="201"/>
      <c r="G71" s="201"/>
      <c r="H71" s="54" t="s">
        <v>829</v>
      </c>
      <c r="I71" s="197" t="s">
        <v>746</v>
      </c>
      <c r="J71" s="202">
        <v>0</v>
      </c>
      <c r="K71" s="201">
        <v>500</v>
      </c>
      <c r="L71" s="203">
        <v>0</v>
      </c>
      <c r="M71" s="25"/>
      <c r="N71" s="26"/>
      <c r="O71" s="26"/>
      <c r="P71" s="28"/>
      <c r="Q71" s="28"/>
    </row>
    <row r="72" spans="1:17" ht="20.25" customHeight="1" thickBot="1">
      <c r="A72" s="200">
        <v>70</v>
      </c>
      <c r="B72" s="201" t="s">
        <v>265</v>
      </c>
      <c r="C72" s="201" t="s">
        <v>750</v>
      </c>
      <c r="D72" s="201"/>
      <c r="E72" s="201"/>
      <c r="F72" s="201"/>
      <c r="G72" s="201"/>
      <c r="H72" s="54" t="s">
        <v>829</v>
      </c>
      <c r="I72" s="197" t="s">
        <v>746</v>
      </c>
      <c r="J72" s="202">
        <v>0</v>
      </c>
      <c r="K72" s="201">
        <v>500</v>
      </c>
      <c r="L72" s="203">
        <v>0</v>
      </c>
      <c r="M72" s="25"/>
      <c r="N72" s="26"/>
      <c r="O72" s="26"/>
      <c r="P72" s="28"/>
      <c r="Q72" s="28"/>
    </row>
    <row r="73" spans="1:17" ht="20.25" customHeight="1" thickBot="1">
      <c r="A73" s="200">
        <v>71</v>
      </c>
      <c r="B73" s="201" t="s">
        <v>266</v>
      </c>
      <c r="C73" s="201" t="s">
        <v>750</v>
      </c>
      <c r="D73" s="201"/>
      <c r="E73" s="201"/>
      <c r="F73" s="201"/>
      <c r="G73" s="201"/>
      <c r="H73" s="54" t="s">
        <v>829</v>
      </c>
      <c r="I73" s="197" t="s">
        <v>746</v>
      </c>
      <c r="J73" s="202">
        <v>0</v>
      </c>
      <c r="K73" s="201">
        <v>500</v>
      </c>
      <c r="L73" s="203">
        <v>0</v>
      </c>
      <c r="M73" s="25"/>
      <c r="N73" s="26"/>
      <c r="O73" s="26"/>
      <c r="P73" s="28"/>
      <c r="Q73" s="28"/>
    </row>
    <row r="74" spans="1:17" ht="20.25" customHeight="1" thickBot="1">
      <c r="A74" s="204">
        <v>72</v>
      </c>
      <c r="B74" s="205" t="s">
        <v>267</v>
      </c>
      <c r="C74" s="205" t="s">
        <v>751</v>
      </c>
      <c r="D74" s="205"/>
      <c r="E74" s="205"/>
      <c r="F74" s="205"/>
      <c r="G74" s="205"/>
      <c r="H74" s="54" t="s">
        <v>829</v>
      </c>
      <c r="I74" s="197" t="s">
        <v>746</v>
      </c>
      <c r="J74" s="206">
        <v>0</v>
      </c>
      <c r="K74" s="205">
        <v>1000</v>
      </c>
      <c r="L74" s="203">
        <v>0</v>
      </c>
      <c r="M74" s="25"/>
      <c r="N74" s="26"/>
      <c r="O74" s="26"/>
      <c r="P74" s="28"/>
      <c r="Q74" s="28"/>
    </row>
    <row r="75" spans="1:17">
      <c r="A75" s="181"/>
      <c r="B75" s="182"/>
      <c r="C75" s="182"/>
      <c r="D75" s="182"/>
      <c r="E75" s="182"/>
      <c r="F75" s="182"/>
      <c r="G75" s="174"/>
      <c r="H75" s="182"/>
      <c r="I75" s="182"/>
      <c r="J75" s="232"/>
      <c r="K75" s="233">
        <f>SUBTOTAL(109,Table145[میاشتنی کرایه])</f>
        <v>125000</v>
      </c>
      <c r="L75" s="234">
        <f>SUBTOTAL(109,Table145[د ۵۰ ٪ کرایی درکه])</f>
        <v>51750</v>
      </c>
      <c r="M75" s="114"/>
      <c r="N75" s="38"/>
      <c r="O75" s="38"/>
      <c r="P75" s="39"/>
    </row>
    <row r="77" spans="1:17">
      <c r="K77" s="20">
        <f>Table145[[#Totals],[میاشتنی کرایه]]-Table145[[#Totals],[د ۵۰ ٪ کرایی درکه]]</f>
        <v>73250</v>
      </c>
    </row>
  </sheetData>
  <sheetProtection insertColumns="0" insertRows="0" deleteColumns="0" deleteRows="0"/>
  <mergeCells count="1">
    <mergeCell ref="A1:P1"/>
  </mergeCells>
  <pageMargins left="0.7" right="0.41" top="0.75" bottom="0.75" header="0.3" footer="0.3"/>
  <pageSetup scale="82" orientation="landscape" horizontalDpi="360" verticalDpi="360" r:id="rId1"/>
  <rowBreaks count="1" manualBreakCount="1">
    <brk id="50" max="15" man="1"/>
  </row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U77"/>
  <sheetViews>
    <sheetView rightToLeft="1" topLeftCell="A58" zoomScale="90" zoomScaleNormal="90" workbookViewId="0">
      <selection activeCell="D53" sqref="D53"/>
    </sheetView>
  </sheetViews>
  <sheetFormatPr defaultRowHeight="18"/>
  <cols>
    <col min="1" max="1" width="4.83203125" style="20" bestFit="1" customWidth="1"/>
    <col min="2" max="2" width="5.6640625" style="20" customWidth="1"/>
    <col min="3" max="3" width="1.33203125" style="20" customWidth="1"/>
    <col min="4" max="4" width="11.33203125" style="20" bestFit="1" customWidth="1"/>
    <col min="5" max="7" width="11" style="20" hidden="1" customWidth="1"/>
    <col min="8" max="8" width="12.9140625" style="20" hidden="1" customWidth="1"/>
    <col min="9" max="9" width="6.9140625" style="20" hidden="1" customWidth="1"/>
    <col min="10" max="10" width="5.4140625" style="20" customWidth="1"/>
    <col min="11" max="11" width="17.4140625" style="46" customWidth="1"/>
    <col min="12" max="12" width="9.9140625" style="20" customWidth="1"/>
    <col min="13" max="13" width="7.83203125" style="20" customWidth="1"/>
    <col min="14" max="14" width="16.5" customWidth="1"/>
    <col min="15" max="15" width="11.08203125" bestFit="1" customWidth="1"/>
  </cols>
  <sheetData>
    <row r="1" spans="1:21" ht="51" customHeight="1">
      <c r="C1" s="245" t="s">
        <v>697</v>
      </c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6" t="s">
        <v>700</v>
      </c>
      <c r="P1" s="246"/>
      <c r="Q1" s="246"/>
      <c r="R1" s="246"/>
      <c r="S1" s="246"/>
      <c r="T1" s="246"/>
      <c r="U1" s="246"/>
    </row>
    <row r="2" spans="1:21" s="48" customFormat="1" ht="54" customHeight="1">
      <c r="A2" s="47" t="s">
        <v>41</v>
      </c>
      <c r="B2" s="29" t="s">
        <v>40</v>
      </c>
      <c r="C2" s="29" t="s">
        <v>38</v>
      </c>
      <c r="D2" s="29" t="s">
        <v>42</v>
      </c>
      <c r="E2" s="29" t="s">
        <v>268</v>
      </c>
      <c r="F2" s="29" t="s">
        <v>506</v>
      </c>
      <c r="G2" s="29" t="s">
        <v>508</v>
      </c>
      <c r="H2" s="29" t="s">
        <v>489</v>
      </c>
      <c r="I2" s="29" t="s">
        <v>46</v>
      </c>
      <c r="J2" s="29" t="s">
        <v>39</v>
      </c>
      <c r="K2" s="109" t="s">
        <v>347</v>
      </c>
      <c r="L2" s="30" t="s">
        <v>417</v>
      </c>
      <c r="M2" s="30" t="s">
        <v>50</v>
      </c>
      <c r="N2" s="105" t="s">
        <v>45</v>
      </c>
      <c r="O2" s="106" t="s">
        <v>498</v>
      </c>
      <c r="P2" s="106" t="s">
        <v>499</v>
      </c>
      <c r="Q2" s="106" t="s">
        <v>500</v>
      </c>
      <c r="R2" s="106" t="s">
        <v>501</v>
      </c>
      <c r="S2" s="106" t="s">
        <v>502</v>
      </c>
      <c r="T2" s="106" t="s">
        <v>503</v>
      </c>
      <c r="U2" s="106" t="s">
        <v>504</v>
      </c>
    </row>
    <row r="3" spans="1:21" s="62" customFormat="1" ht="24.75" customHeight="1">
      <c r="A3" s="59">
        <v>1</v>
      </c>
      <c r="B3" s="60" t="s">
        <v>124</v>
      </c>
      <c r="C3" s="91"/>
      <c r="D3" s="60" t="s">
        <v>348</v>
      </c>
      <c r="E3" s="60" t="s">
        <v>349</v>
      </c>
      <c r="F3" s="60" t="s">
        <v>507</v>
      </c>
      <c r="G3" s="60" t="s">
        <v>509</v>
      </c>
      <c r="H3" s="60">
        <v>96528</v>
      </c>
      <c r="I3" s="54" t="s">
        <v>829</v>
      </c>
      <c r="J3" s="60" t="s">
        <v>47</v>
      </c>
      <c r="K3" s="61">
        <v>1200000</v>
      </c>
      <c r="L3" s="92">
        <v>6000</v>
      </c>
      <c r="M3" s="93">
        <f>Table14[[#This Row],[میاشتنی کرایه]]/2</f>
        <v>3000</v>
      </c>
      <c r="N3" s="60">
        <v>772349861</v>
      </c>
      <c r="O3" s="103">
        <f>Table14[[#This Row],[پیشکي]]-Table14[[#This Row],[د ۵۰ ٪ کرایی درکه]]</f>
        <v>1197000</v>
      </c>
      <c r="P3" s="103"/>
      <c r="Q3" s="103"/>
      <c r="R3" s="103"/>
      <c r="S3" s="103"/>
      <c r="T3" s="103"/>
      <c r="U3" s="103"/>
    </row>
    <row r="4" spans="1:21" s="62" customFormat="1" ht="24.75" customHeight="1">
      <c r="A4" s="59">
        <v>2</v>
      </c>
      <c r="B4" s="60" t="s">
        <v>125</v>
      </c>
      <c r="C4" s="60"/>
      <c r="D4" s="60" t="s">
        <v>348</v>
      </c>
      <c r="E4" s="60" t="s">
        <v>349</v>
      </c>
      <c r="F4" s="60"/>
      <c r="G4" s="60"/>
      <c r="H4" s="60">
        <v>0</v>
      </c>
      <c r="I4" s="54" t="s">
        <v>829</v>
      </c>
      <c r="J4" s="60" t="s">
        <v>47</v>
      </c>
      <c r="K4" s="61">
        <v>600000</v>
      </c>
      <c r="L4" s="60">
        <v>5000</v>
      </c>
      <c r="M4" s="93">
        <f>Table14[[#This Row],[میاشتنی کرایه]]/2</f>
        <v>2500</v>
      </c>
      <c r="N4" s="60"/>
      <c r="O4" s="103">
        <f>Table14[[#This Row],[پیشکي]]-Table14[[#This Row],[د ۵۰ ٪ کرایی درکه]]</f>
        <v>597500</v>
      </c>
      <c r="P4" s="57"/>
      <c r="Q4" s="57"/>
      <c r="R4" s="57"/>
      <c r="S4" s="57"/>
      <c r="T4" s="57"/>
      <c r="U4" s="57"/>
    </row>
    <row r="5" spans="1:21" s="62" customFormat="1" ht="24.75" customHeight="1">
      <c r="A5" s="59">
        <v>3</v>
      </c>
      <c r="B5" s="60" t="s">
        <v>126</v>
      </c>
      <c r="C5" s="60"/>
      <c r="D5" s="60" t="s">
        <v>348</v>
      </c>
      <c r="E5" s="60" t="s">
        <v>349</v>
      </c>
      <c r="F5" s="60"/>
      <c r="G5" s="60"/>
      <c r="H5" s="60">
        <v>0</v>
      </c>
      <c r="I5" s="54" t="s">
        <v>829</v>
      </c>
      <c r="J5" s="60" t="s">
        <v>47</v>
      </c>
      <c r="K5" s="61">
        <v>600000</v>
      </c>
      <c r="L5" s="60">
        <v>5000</v>
      </c>
      <c r="M5" s="60">
        <f>Table14[[#This Row],[میاشتنی کرایه]]/2</f>
        <v>2500</v>
      </c>
      <c r="N5" s="60"/>
      <c r="O5" s="103">
        <f>Table14[[#This Row],[پیشکي]]-Table14[[#This Row],[د ۵۰ ٪ کرایی درکه]]</f>
        <v>597500</v>
      </c>
      <c r="P5" s="57"/>
      <c r="Q5" s="57"/>
      <c r="R5" s="57"/>
      <c r="S5" s="57"/>
      <c r="T5" s="57"/>
      <c r="U5" s="57"/>
    </row>
    <row r="6" spans="1:21" ht="24.75" customHeight="1">
      <c r="A6" s="25">
        <v>4</v>
      </c>
      <c r="B6" s="26" t="s">
        <v>127</v>
      </c>
      <c r="C6" s="26"/>
      <c r="D6" s="26" t="s">
        <v>350</v>
      </c>
      <c r="E6" s="26" t="s">
        <v>351</v>
      </c>
      <c r="F6" s="26" t="s">
        <v>510</v>
      </c>
      <c r="G6" s="26" t="s">
        <v>511</v>
      </c>
      <c r="H6" s="60">
        <v>14519901</v>
      </c>
      <c r="I6" s="54" t="s">
        <v>829</v>
      </c>
      <c r="J6" s="26" t="s">
        <v>47</v>
      </c>
      <c r="K6" s="37">
        <v>660000</v>
      </c>
      <c r="L6" s="60">
        <v>5000</v>
      </c>
      <c r="M6" s="26">
        <f>Table14[[#This Row],[میاشتنی کرایه]]/2</f>
        <v>2500</v>
      </c>
      <c r="N6" s="26"/>
      <c r="O6" s="103">
        <f>Table14[[#This Row],[پیشکي]]-Table14[[#This Row],[د ۵۰ ٪ کرایی درکه]]</f>
        <v>657500</v>
      </c>
      <c r="P6" s="35"/>
      <c r="Q6" s="35"/>
      <c r="R6" s="35"/>
      <c r="S6" s="35"/>
      <c r="T6" s="35"/>
      <c r="U6" s="35"/>
    </row>
    <row r="7" spans="1:21" ht="24.75" customHeight="1">
      <c r="A7" s="25">
        <v>5</v>
      </c>
      <c r="B7" s="26" t="s">
        <v>128</v>
      </c>
      <c r="C7" s="26"/>
      <c r="D7" s="26" t="s">
        <v>720</v>
      </c>
      <c r="E7" s="26" t="s">
        <v>352</v>
      </c>
      <c r="F7" s="26"/>
      <c r="G7" s="26"/>
      <c r="H7" s="60">
        <v>12360</v>
      </c>
      <c r="I7" s="54" t="s">
        <v>829</v>
      </c>
      <c r="J7" s="26" t="s">
        <v>47</v>
      </c>
      <c r="K7" s="37">
        <v>700000</v>
      </c>
      <c r="L7" s="60">
        <v>5000</v>
      </c>
      <c r="M7" s="26">
        <f>Table14[[#This Row],[میاشتنی کرایه]]/2</f>
        <v>2500</v>
      </c>
      <c r="N7" s="26"/>
      <c r="O7" s="103">
        <f>Table14[[#This Row],[پیشکي]]-Table14[[#This Row],[د ۵۰ ٪ کرایی درکه]]</f>
        <v>697500</v>
      </c>
      <c r="P7" s="35"/>
      <c r="Q7" s="35"/>
      <c r="R7" s="35"/>
      <c r="S7" s="35"/>
      <c r="T7" s="35"/>
      <c r="U7" s="35"/>
    </row>
    <row r="8" spans="1:21" ht="24.75" customHeight="1">
      <c r="A8" s="25">
        <v>6</v>
      </c>
      <c r="B8" s="26" t="s">
        <v>129</v>
      </c>
      <c r="C8" s="26"/>
      <c r="D8" s="26" t="s">
        <v>284</v>
      </c>
      <c r="E8" s="26" t="s">
        <v>285</v>
      </c>
      <c r="F8" s="26" t="s">
        <v>512</v>
      </c>
      <c r="G8" s="26" t="s">
        <v>513</v>
      </c>
      <c r="H8" s="60">
        <v>567941</v>
      </c>
      <c r="I8" s="54" t="s">
        <v>829</v>
      </c>
      <c r="J8" s="26" t="s">
        <v>47</v>
      </c>
      <c r="K8" s="37">
        <v>700000</v>
      </c>
      <c r="L8" s="60">
        <v>5000</v>
      </c>
      <c r="M8" s="26">
        <f>Table14[[#This Row],[میاشتنی کرایه]]/2</f>
        <v>2500</v>
      </c>
      <c r="N8" s="26"/>
      <c r="O8" s="103">
        <f>Table14[[#This Row],[پیشکي]]-Table14[[#This Row],[د ۵۰ ٪ کرایی درکه]]</f>
        <v>697500</v>
      </c>
      <c r="P8" s="35"/>
      <c r="Q8" s="35"/>
      <c r="R8" s="35"/>
      <c r="S8" s="35"/>
      <c r="T8" s="35"/>
      <c r="U8" s="35"/>
    </row>
    <row r="9" spans="1:21" ht="24.75" customHeight="1">
      <c r="A9" s="25">
        <v>7</v>
      </c>
      <c r="B9" s="26" t="s">
        <v>130</v>
      </c>
      <c r="C9" s="26"/>
      <c r="D9" s="26" t="s">
        <v>353</v>
      </c>
      <c r="E9" s="26"/>
      <c r="F9" s="26"/>
      <c r="G9" s="26"/>
      <c r="H9" s="60"/>
      <c r="I9" s="54" t="s">
        <v>829</v>
      </c>
      <c r="J9" s="26" t="s">
        <v>47</v>
      </c>
      <c r="K9" s="37">
        <v>600000</v>
      </c>
      <c r="L9" s="26">
        <v>4000</v>
      </c>
      <c r="M9" s="26">
        <f>Table14[[#This Row],[میاشتنی کرایه]]/2</f>
        <v>2000</v>
      </c>
      <c r="N9" s="26"/>
      <c r="O9" s="103">
        <f>Table14[[#This Row],[پیشکي]]-Table14[[#This Row],[د ۵۰ ٪ کرایی درکه]]</f>
        <v>598000</v>
      </c>
      <c r="P9" s="35"/>
      <c r="Q9" s="35"/>
      <c r="R9" s="35"/>
      <c r="S9" s="35"/>
      <c r="T9" s="35"/>
      <c r="U9" s="35"/>
    </row>
    <row r="10" spans="1:21" ht="24.75" customHeight="1">
      <c r="A10" s="25">
        <v>8</v>
      </c>
      <c r="B10" s="26" t="s">
        <v>131</v>
      </c>
      <c r="C10" s="26"/>
      <c r="D10" s="26" t="s">
        <v>354</v>
      </c>
      <c r="E10" s="26" t="s">
        <v>355</v>
      </c>
      <c r="F10" s="26" t="s">
        <v>514</v>
      </c>
      <c r="G10" s="26" t="s">
        <v>515</v>
      </c>
      <c r="H10" s="60">
        <v>37182399</v>
      </c>
      <c r="I10" s="54" t="s">
        <v>829</v>
      </c>
      <c r="J10" s="26" t="s">
        <v>47</v>
      </c>
      <c r="K10" s="37">
        <v>500000</v>
      </c>
      <c r="L10" s="26">
        <v>4000</v>
      </c>
      <c r="M10" s="26">
        <f>Table14[[#This Row],[میاشتنی کرایه]]/2</f>
        <v>2000</v>
      </c>
      <c r="N10" s="26"/>
      <c r="O10" s="103">
        <f>Table14[[#This Row],[پیشکي]]-Table14[[#This Row],[د ۵۰ ٪ کرایی درکه]]</f>
        <v>498000</v>
      </c>
      <c r="P10" s="66"/>
      <c r="Q10" s="66"/>
      <c r="R10" s="66"/>
      <c r="S10" s="66"/>
      <c r="T10" s="66"/>
      <c r="U10" s="66"/>
    </row>
    <row r="11" spans="1:21" ht="24.75" customHeight="1">
      <c r="A11" s="25">
        <v>9</v>
      </c>
      <c r="B11" s="26" t="s">
        <v>132</v>
      </c>
      <c r="C11" s="26"/>
      <c r="D11" s="26" t="s">
        <v>356</v>
      </c>
      <c r="E11" s="26" t="s">
        <v>357</v>
      </c>
      <c r="F11" s="26" t="s">
        <v>427</v>
      </c>
      <c r="G11" s="26" t="s">
        <v>516</v>
      </c>
      <c r="H11" s="60">
        <v>11126018</v>
      </c>
      <c r="I11" s="54" t="s">
        <v>829</v>
      </c>
      <c r="J11" s="26" t="s">
        <v>47</v>
      </c>
      <c r="K11" s="37">
        <v>700000</v>
      </c>
      <c r="L11" s="26">
        <v>4000</v>
      </c>
      <c r="M11" s="26">
        <f>Table14[[#This Row],[میاشتنی کرایه]]/2</f>
        <v>2000</v>
      </c>
      <c r="N11" s="26"/>
      <c r="O11" s="103">
        <f>Table14[[#This Row],[پیشکي]]-Table14[[#This Row],[د ۵۰ ٪ کرایی درکه]]</f>
        <v>698000</v>
      </c>
      <c r="P11" s="66"/>
      <c r="Q11" s="66"/>
      <c r="R11" s="66"/>
      <c r="S11" s="66"/>
      <c r="T11" s="66"/>
      <c r="U11" s="66"/>
    </row>
    <row r="12" spans="1:21" ht="24.75" customHeight="1">
      <c r="A12" s="25">
        <v>10</v>
      </c>
      <c r="B12" s="26" t="s">
        <v>133</v>
      </c>
      <c r="C12" s="26"/>
      <c r="D12" s="26" t="s">
        <v>358</v>
      </c>
      <c r="E12" s="26" t="s">
        <v>359</v>
      </c>
      <c r="F12" s="26" t="s">
        <v>517</v>
      </c>
      <c r="G12" s="26" t="s">
        <v>518</v>
      </c>
      <c r="H12" s="60">
        <v>30699672</v>
      </c>
      <c r="I12" s="54" t="s">
        <v>829</v>
      </c>
      <c r="J12" s="26" t="s">
        <v>47</v>
      </c>
      <c r="K12" s="37">
        <v>500000</v>
      </c>
      <c r="L12" s="26">
        <v>4000</v>
      </c>
      <c r="M12" s="26">
        <f>Table14[[#This Row],[میاشتنی کرایه]]/2</f>
        <v>2000</v>
      </c>
      <c r="N12" s="26"/>
      <c r="O12" s="103">
        <f>Table14[[#This Row],[پیشکي]]-Table14[[#This Row],[د ۵۰ ٪ کرایی درکه]]</f>
        <v>498000</v>
      </c>
      <c r="P12" s="35"/>
      <c r="Q12" s="35"/>
      <c r="R12" s="35"/>
      <c r="S12" s="35"/>
      <c r="T12" s="35"/>
      <c r="U12" s="35"/>
    </row>
    <row r="13" spans="1:21" ht="24.75" customHeight="1">
      <c r="A13" s="25">
        <v>11</v>
      </c>
      <c r="B13" s="227" t="s">
        <v>134</v>
      </c>
      <c r="C13" s="227"/>
      <c r="D13" s="227" t="s">
        <v>360</v>
      </c>
      <c r="E13" s="227" t="s">
        <v>519</v>
      </c>
      <c r="F13" s="227" t="s">
        <v>520</v>
      </c>
      <c r="G13" s="227" t="s">
        <v>521</v>
      </c>
      <c r="H13" s="227">
        <v>12113848</v>
      </c>
      <c r="I13" s="54" t="s">
        <v>829</v>
      </c>
      <c r="J13" s="227" t="s">
        <v>47</v>
      </c>
      <c r="K13" s="116">
        <v>700000</v>
      </c>
      <c r="L13" s="227">
        <v>4000</v>
      </c>
      <c r="M13" s="227">
        <v>4000</v>
      </c>
      <c r="N13" s="184" t="s">
        <v>733</v>
      </c>
      <c r="O13" s="103">
        <f>Table14[[#This Row],[پیشکي]]-Table14[[#This Row],[د ۵۰ ٪ کرایی درکه]]</f>
        <v>696000</v>
      </c>
      <c r="P13" s="35"/>
      <c r="Q13" s="35"/>
      <c r="R13" s="35"/>
      <c r="S13" s="35"/>
      <c r="T13" s="35"/>
      <c r="U13" s="35"/>
    </row>
    <row r="14" spans="1:21" ht="24.75" customHeight="1">
      <c r="A14" s="25">
        <v>12</v>
      </c>
      <c r="B14" s="26" t="s">
        <v>135</v>
      </c>
      <c r="C14" s="26"/>
      <c r="D14" s="26" t="s">
        <v>361</v>
      </c>
      <c r="E14" s="26" t="s">
        <v>362</v>
      </c>
      <c r="F14" s="26" t="s">
        <v>522</v>
      </c>
      <c r="G14" s="26" t="s">
        <v>523</v>
      </c>
      <c r="H14" s="60">
        <v>32676071</v>
      </c>
      <c r="I14" s="54" t="s">
        <v>829</v>
      </c>
      <c r="J14" s="26" t="s">
        <v>47</v>
      </c>
      <c r="K14" s="37">
        <v>700000</v>
      </c>
      <c r="L14" s="26">
        <v>4000</v>
      </c>
      <c r="M14" s="26">
        <f>Table14[[#This Row],[میاشتنی کرایه]]/2</f>
        <v>2000</v>
      </c>
      <c r="N14" s="26"/>
      <c r="O14" s="103">
        <f>Table14[[#This Row],[پیشکي]]-Table14[[#This Row],[د ۵۰ ٪ کرایی درکه]]</f>
        <v>698000</v>
      </c>
      <c r="P14" s="35"/>
      <c r="Q14" s="35"/>
      <c r="R14" s="35"/>
      <c r="S14" s="35"/>
      <c r="T14" s="35"/>
      <c r="U14" s="35"/>
    </row>
    <row r="15" spans="1:21" s="120" customFormat="1" ht="24.75" customHeight="1">
      <c r="A15" s="120">
        <v>13</v>
      </c>
      <c r="B15" s="115" t="s">
        <v>136</v>
      </c>
      <c r="C15" s="115"/>
      <c r="D15" s="115" t="s">
        <v>321</v>
      </c>
      <c r="E15" s="115" t="s">
        <v>363</v>
      </c>
      <c r="F15" s="115" t="s">
        <v>524</v>
      </c>
      <c r="G15" s="115" t="s">
        <v>525</v>
      </c>
      <c r="H15" s="115">
        <v>71466</v>
      </c>
      <c r="I15" s="54" t="s">
        <v>829</v>
      </c>
      <c r="J15" s="115" t="s">
        <v>47</v>
      </c>
      <c r="K15" s="115" t="s">
        <v>652</v>
      </c>
      <c r="L15" s="115">
        <v>4000</v>
      </c>
      <c r="M15" s="115">
        <v>0</v>
      </c>
      <c r="O15" s="120" t="e">
        <f>Table14[[#This Row],[پیشکي]]-Table14[[#This Row],[د ۵۰ ٪ کرایی درکه]]</f>
        <v>#VALUE!</v>
      </c>
    </row>
    <row r="16" spans="1:21" ht="24.75" customHeight="1">
      <c r="A16" s="25">
        <v>14</v>
      </c>
      <c r="B16" s="26" t="s">
        <v>137</v>
      </c>
      <c r="C16" s="26"/>
      <c r="D16" s="26" t="s">
        <v>364</v>
      </c>
      <c r="E16" s="26" t="s">
        <v>365</v>
      </c>
      <c r="F16" s="26" t="s">
        <v>526</v>
      </c>
      <c r="G16" s="26" t="s">
        <v>527</v>
      </c>
      <c r="H16" s="60">
        <v>32668555</v>
      </c>
      <c r="I16" s="54" t="s">
        <v>829</v>
      </c>
      <c r="J16" s="26" t="s">
        <v>47</v>
      </c>
      <c r="K16" s="37" t="s">
        <v>823</v>
      </c>
      <c r="L16" s="26">
        <v>5000</v>
      </c>
      <c r="M16" s="26">
        <f>Table14[[#This Row],[میاشتنی کرایه]]/2</f>
        <v>2500</v>
      </c>
      <c r="N16" s="26"/>
      <c r="O16" s="103" t="e">
        <f>Table14[[#This Row],[پیشکي]]-Table14[[#This Row],[د ۵۰ ٪ کرایی درکه]]</f>
        <v>#VALUE!</v>
      </c>
      <c r="P16" s="66"/>
      <c r="Q16" s="66"/>
      <c r="R16" s="66"/>
      <c r="S16" s="66"/>
      <c r="T16" s="66"/>
      <c r="U16" s="66"/>
    </row>
    <row r="17" spans="1:21" ht="24.75" customHeight="1">
      <c r="A17" s="25">
        <v>15</v>
      </c>
      <c r="B17" s="26" t="s">
        <v>138</v>
      </c>
      <c r="C17" s="26"/>
      <c r="D17" s="26" t="s">
        <v>366</v>
      </c>
      <c r="E17" s="26" t="s">
        <v>367</v>
      </c>
      <c r="F17" s="26" t="s">
        <v>528</v>
      </c>
      <c r="G17" s="26" t="s">
        <v>529</v>
      </c>
      <c r="H17" s="60">
        <v>560213</v>
      </c>
      <c r="I17" s="54" t="s">
        <v>829</v>
      </c>
      <c r="J17" s="26" t="s">
        <v>47</v>
      </c>
      <c r="K17" s="37">
        <v>600000</v>
      </c>
      <c r="L17" s="26">
        <v>5000</v>
      </c>
      <c r="M17" s="26">
        <f>Table14[[#This Row],[میاشتنی کرایه]]/2</f>
        <v>2500</v>
      </c>
      <c r="N17" s="26"/>
      <c r="O17" s="103">
        <f>Table14[[#This Row],[پیشکي]]-Table14[[#This Row],[د ۵۰ ٪ کرایی درکه]]</f>
        <v>597500</v>
      </c>
      <c r="P17" s="35"/>
      <c r="Q17" s="35"/>
      <c r="R17" s="35"/>
      <c r="S17" s="35"/>
      <c r="T17" s="35"/>
      <c r="U17" s="35"/>
    </row>
    <row r="18" spans="1:21" ht="24.75" customHeight="1">
      <c r="A18" s="25">
        <v>16</v>
      </c>
      <c r="B18" s="26" t="s">
        <v>139</v>
      </c>
      <c r="C18" s="26"/>
      <c r="D18" s="26" t="s">
        <v>368</v>
      </c>
      <c r="E18" s="26" t="s">
        <v>298</v>
      </c>
      <c r="F18" s="26" t="s">
        <v>530</v>
      </c>
      <c r="G18" s="26" t="s">
        <v>531</v>
      </c>
      <c r="H18" s="60">
        <v>436524</v>
      </c>
      <c r="I18" s="54" t="s">
        <v>829</v>
      </c>
      <c r="J18" s="26" t="s">
        <v>47</v>
      </c>
      <c r="K18" s="37">
        <v>600000</v>
      </c>
      <c r="L18" s="26">
        <v>5000</v>
      </c>
      <c r="M18" s="26">
        <f>Table14[[#This Row],[میاشتنی کرایه]]/2</f>
        <v>2500</v>
      </c>
      <c r="N18" s="26"/>
      <c r="O18" s="103">
        <f>Table14[[#This Row],[پیشکي]]-Table14[[#This Row],[د ۵۰ ٪ کرایی درکه]]</f>
        <v>597500</v>
      </c>
      <c r="P18" s="73"/>
      <c r="Q18" s="73"/>
      <c r="R18" s="73"/>
      <c r="S18" s="73"/>
      <c r="T18" s="73"/>
      <c r="U18" s="73"/>
    </row>
    <row r="19" spans="1:21" s="121" customFormat="1" ht="24.75" customHeight="1">
      <c r="A19" s="119">
        <v>17</v>
      </c>
      <c r="B19" s="115" t="s">
        <v>140</v>
      </c>
      <c r="C19" s="115"/>
      <c r="D19" s="115" t="s">
        <v>387</v>
      </c>
      <c r="E19" s="115" t="s">
        <v>494</v>
      </c>
      <c r="F19" s="115"/>
      <c r="G19" s="115"/>
      <c r="H19" s="115"/>
      <c r="I19" s="54" t="s">
        <v>829</v>
      </c>
      <c r="J19" s="115" t="s">
        <v>47</v>
      </c>
      <c r="K19" s="116" t="s">
        <v>652</v>
      </c>
      <c r="L19" s="115">
        <v>5000</v>
      </c>
      <c r="M19" s="115">
        <v>0</v>
      </c>
      <c r="N19" s="120"/>
      <c r="O19" s="103" t="e">
        <f>Table14[[#This Row],[پیشکي]]-Table14[[#This Row],[د ۵۰ ٪ کرایی درکه]]</f>
        <v>#VALUE!</v>
      </c>
      <c r="P19" s="73"/>
      <c r="Q19" s="73"/>
      <c r="R19" s="73"/>
      <c r="S19" s="73"/>
      <c r="T19" s="73"/>
      <c r="U19" s="73"/>
    </row>
    <row r="20" spans="1:21" ht="24.75" customHeight="1">
      <c r="A20" s="25">
        <v>18</v>
      </c>
      <c r="B20" s="26" t="s">
        <v>141</v>
      </c>
      <c r="C20" s="26"/>
      <c r="D20" s="26" t="s">
        <v>369</v>
      </c>
      <c r="E20" s="26" t="s">
        <v>370</v>
      </c>
      <c r="F20" s="26" t="s">
        <v>524</v>
      </c>
      <c r="G20" s="26" t="s">
        <v>525</v>
      </c>
      <c r="H20" s="60">
        <v>24262</v>
      </c>
      <c r="I20" s="54" t="s">
        <v>829</v>
      </c>
      <c r="J20" s="26" t="s">
        <v>47</v>
      </c>
      <c r="K20" s="37">
        <v>400000</v>
      </c>
      <c r="L20" s="26">
        <v>5000</v>
      </c>
      <c r="M20" s="26">
        <f>Table14[[#This Row],[میاشتنی کرایه]]/2</f>
        <v>2500</v>
      </c>
      <c r="N20" s="26"/>
      <c r="O20" s="103">
        <f>Table14[[#This Row],[پیشکي]]-Table14[[#This Row],[د ۵۰ ٪ کرایی درکه]]</f>
        <v>397500</v>
      </c>
      <c r="P20" s="35"/>
      <c r="Q20" s="35"/>
      <c r="R20" s="35"/>
      <c r="S20" s="35"/>
      <c r="T20" s="35"/>
      <c r="U20" s="35"/>
    </row>
    <row r="21" spans="1:21" s="187" customFormat="1" ht="24.75" customHeight="1">
      <c r="A21" s="183">
        <v>19</v>
      </c>
      <c r="B21" s="115" t="s">
        <v>142</v>
      </c>
      <c r="C21" s="115"/>
      <c r="D21" s="115" t="s">
        <v>371</v>
      </c>
      <c r="E21" s="115" t="s">
        <v>372</v>
      </c>
      <c r="F21" s="115" t="s">
        <v>532</v>
      </c>
      <c r="G21" s="115" t="s">
        <v>533</v>
      </c>
      <c r="H21" s="115">
        <v>89696</v>
      </c>
      <c r="I21" s="54" t="s">
        <v>829</v>
      </c>
      <c r="J21" s="115" t="s">
        <v>47</v>
      </c>
      <c r="K21" s="116">
        <v>1100000</v>
      </c>
      <c r="L21" s="115">
        <v>5000</v>
      </c>
      <c r="M21" s="115">
        <v>5000</v>
      </c>
      <c r="N21" s="184" t="s">
        <v>733</v>
      </c>
      <c r="O21" s="185">
        <f>Table14[[#This Row],[پیشکي]]-Table14[[#This Row],[د ۵۰ ٪ کرایی درکه]]</f>
        <v>1095000</v>
      </c>
      <c r="P21" s="186"/>
      <c r="Q21" s="186"/>
      <c r="R21" s="186"/>
      <c r="S21" s="186"/>
      <c r="T21" s="186"/>
      <c r="U21" s="186"/>
    </row>
    <row r="22" spans="1:21" s="62" customFormat="1" ht="24.75" customHeight="1">
      <c r="A22" s="59">
        <v>20</v>
      </c>
      <c r="B22" s="60" t="s">
        <v>143</v>
      </c>
      <c r="C22" s="60"/>
      <c r="D22" s="60" t="s">
        <v>373</v>
      </c>
      <c r="E22" s="60" t="s">
        <v>374</v>
      </c>
      <c r="F22" s="60" t="s">
        <v>534</v>
      </c>
      <c r="G22" s="60" t="s">
        <v>535</v>
      </c>
      <c r="H22" s="60">
        <v>718313</v>
      </c>
      <c r="I22" s="54" t="s">
        <v>829</v>
      </c>
      <c r="J22" s="60" t="s">
        <v>47</v>
      </c>
      <c r="K22" s="61">
        <v>1200000</v>
      </c>
      <c r="L22" s="26">
        <v>5000</v>
      </c>
      <c r="M22" s="60">
        <f>Table14[[#This Row],[میاشتنی کرایه]]/2</f>
        <v>2500</v>
      </c>
      <c r="N22" s="60"/>
      <c r="O22" s="103">
        <f>Table14[[#This Row],[پیشکي]]-Table14[[#This Row],[د ۵۰ ٪ کرایی درکه]]</f>
        <v>1197500</v>
      </c>
      <c r="P22" s="35"/>
      <c r="Q22" s="35"/>
      <c r="R22" s="35"/>
      <c r="S22" s="35"/>
      <c r="T22" s="35"/>
      <c r="U22" s="35"/>
    </row>
    <row r="23" spans="1:21" s="62" customFormat="1" ht="24.75" customHeight="1">
      <c r="A23" s="59">
        <v>21</v>
      </c>
      <c r="B23" s="60" t="s">
        <v>144</v>
      </c>
      <c r="C23" s="60"/>
      <c r="D23" s="60" t="s">
        <v>373</v>
      </c>
      <c r="E23" s="60"/>
      <c r="F23" s="60"/>
      <c r="G23" s="60"/>
      <c r="H23" s="60"/>
      <c r="I23" s="54" t="s">
        <v>829</v>
      </c>
      <c r="J23" s="60" t="s">
        <v>47</v>
      </c>
      <c r="K23" s="61">
        <v>695000</v>
      </c>
      <c r="L23" s="26">
        <v>5000</v>
      </c>
      <c r="M23" s="60">
        <f>Table14[[#This Row],[میاشتنی کرایه]]/2</f>
        <v>2500</v>
      </c>
      <c r="N23" s="60"/>
      <c r="O23" s="103">
        <f>Table14[[#This Row],[پیشکي]]-Table14[[#This Row],[د ۵۰ ٪ کرایی درکه]]</f>
        <v>692500</v>
      </c>
      <c r="P23" s="35"/>
      <c r="Q23" s="35"/>
      <c r="R23" s="35"/>
      <c r="S23" s="35"/>
      <c r="T23" s="35"/>
      <c r="U23" s="35"/>
    </row>
    <row r="24" spans="1:21" s="62" customFormat="1" ht="24.75" customHeight="1">
      <c r="A24" s="59">
        <v>22</v>
      </c>
      <c r="B24" s="60" t="s">
        <v>145</v>
      </c>
      <c r="C24" s="60"/>
      <c r="D24" s="60" t="s">
        <v>375</v>
      </c>
      <c r="E24" s="60" t="s">
        <v>376</v>
      </c>
      <c r="F24" s="60" t="s">
        <v>536</v>
      </c>
      <c r="G24" s="60" t="s">
        <v>537</v>
      </c>
      <c r="H24" s="60">
        <v>396848</v>
      </c>
      <c r="I24" s="54" t="s">
        <v>829</v>
      </c>
      <c r="J24" s="60" t="s">
        <v>47</v>
      </c>
      <c r="K24" s="61">
        <v>1200000</v>
      </c>
      <c r="L24" s="26">
        <v>5000</v>
      </c>
      <c r="M24" s="60">
        <f>Table14[[#This Row],[میاشتنی کرایه]]/2</f>
        <v>2500</v>
      </c>
      <c r="N24" s="60"/>
      <c r="O24" s="103">
        <f>Table14[[#This Row],[پیشکي]]-Table14[[#This Row],[د ۵۰ ٪ کرایی درکه]]</f>
        <v>1197500</v>
      </c>
      <c r="P24" s="73"/>
      <c r="Q24" s="73"/>
      <c r="R24" s="73"/>
      <c r="S24" s="73"/>
      <c r="T24" s="73"/>
      <c r="U24" s="73"/>
    </row>
    <row r="25" spans="1:21" s="62" customFormat="1" ht="24.75" customHeight="1">
      <c r="A25" s="59">
        <v>23</v>
      </c>
      <c r="B25" s="60" t="s">
        <v>146</v>
      </c>
      <c r="C25" s="60"/>
      <c r="D25" s="60" t="s">
        <v>375</v>
      </c>
      <c r="E25" s="60" t="s">
        <v>376</v>
      </c>
      <c r="F25" s="60"/>
      <c r="G25" s="60"/>
      <c r="H25" s="60"/>
      <c r="I25" s="54" t="s">
        <v>829</v>
      </c>
      <c r="J25" s="60" t="s">
        <v>47</v>
      </c>
      <c r="K25" s="61">
        <v>600000</v>
      </c>
      <c r="L25" s="26">
        <v>5000</v>
      </c>
      <c r="M25" s="60">
        <f>Table14[[#This Row],[میاشتنی کرایه]]/2</f>
        <v>2500</v>
      </c>
      <c r="N25" s="60"/>
      <c r="O25" s="103">
        <f>Table14[[#This Row],[پیشکي]]-Table14[[#This Row],[د ۵۰ ٪ کرایی درکه]]</f>
        <v>597500</v>
      </c>
      <c r="P25" s="73"/>
      <c r="Q25" s="73"/>
      <c r="R25" s="73"/>
      <c r="S25" s="73"/>
      <c r="T25" s="73"/>
      <c r="U25" s="73"/>
    </row>
    <row r="26" spans="1:21" s="120" customFormat="1" ht="24.75" customHeight="1">
      <c r="A26" s="120">
        <v>24</v>
      </c>
      <c r="B26" s="115" t="s">
        <v>147</v>
      </c>
      <c r="C26" s="115"/>
      <c r="D26" s="115" t="s">
        <v>387</v>
      </c>
      <c r="E26" s="115" t="s">
        <v>494</v>
      </c>
      <c r="F26" s="115"/>
      <c r="G26" s="115"/>
      <c r="H26" s="115"/>
      <c r="I26" s="54" t="s">
        <v>829</v>
      </c>
      <c r="J26" s="115" t="s">
        <v>47</v>
      </c>
      <c r="K26" s="115" t="s">
        <v>652</v>
      </c>
      <c r="L26" s="115">
        <v>5000</v>
      </c>
      <c r="M26" s="115">
        <v>0</v>
      </c>
      <c r="O26" s="120" t="e">
        <f>Table14[[#This Row],[پیشکي]]-Table14[[#This Row],[د ۵۰ ٪ کرایی درکه]]</f>
        <v>#VALUE!</v>
      </c>
    </row>
    <row r="27" spans="1:21" s="117" customFormat="1" ht="24.75" customHeight="1">
      <c r="A27" s="60">
        <v>25</v>
      </c>
      <c r="B27" s="60" t="s">
        <v>148</v>
      </c>
      <c r="C27" s="60"/>
      <c r="D27" s="60" t="s">
        <v>327</v>
      </c>
      <c r="E27" s="60" t="s">
        <v>377</v>
      </c>
      <c r="F27" s="60" t="s">
        <v>538</v>
      </c>
      <c r="G27" s="60" t="s">
        <v>539</v>
      </c>
      <c r="H27" s="60">
        <v>226126</v>
      </c>
      <c r="I27" s="54" t="s">
        <v>829</v>
      </c>
      <c r="J27" s="60" t="s">
        <v>47</v>
      </c>
      <c r="K27" s="60">
        <v>700000</v>
      </c>
      <c r="L27" s="60">
        <v>5000</v>
      </c>
      <c r="M27" s="60">
        <f>Table14[[#This Row],[میاشتنی کرایه]]/2</f>
        <v>2500</v>
      </c>
      <c r="N27" s="60"/>
      <c r="O27" s="103">
        <f>Table14[[#This Row],[پیشکي]]-Table14[[#This Row],[د ۵۰ ٪ کرایی درکه]]</f>
        <v>697500</v>
      </c>
      <c r="P27" s="66"/>
      <c r="Q27" s="66"/>
      <c r="R27" s="66"/>
      <c r="S27" s="66"/>
      <c r="T27" s="66"/>
      <c r="U27" s="66"/>
    </row>
    <row r="28" spans="1:21" s="62" customFormat="1" ht="24.75" customHeight="1">
      <c r="A28" s="59">
        <v>26</v>
      </c>
      <c r="B28" s="60" t="s">
        <v>149</v>
      </c>
      <c r="C28" s="60"/>
      <c r="D28" s="60" t="s">
        <v>327</v>
      </c>
      <c r="E28" s="60" t="s">
        <v>377</v>
      </c>
      <c r="F28" s="60"/>
      <c r="G28" s="60"/>
      <c r="H28" s="60"/>
      <c r="I28" s="54" t="s">
        <v>829</v>
      </c>
      <c r="J28" s="60" t="s">
        <v>47</v>
      </c>
      <c r="K28" s="61">
        <v>700000</v>
      </c>
      <c r="L28" s="60">
        <v>5000</v>
      </c>
      <c r="M28" s="60">
        <f>Table14[[#This Row],[میاشتنی کرایه]]/2</f>
        <v>2500</v>
      </c>
      <c r="N28" s="60"/>
      <c r="O28" s="103">
        <f>Table14[[#This Row],[پیشکي]]-Table14[[#This Row],[د ۵۰ ٪ کرایی درکه]]</f>
        <v>697500</v>
      </c>
      <c r="P28" s="35"/>
      <c r="Q28" s="35"/>
      <c r="R28" s="35"/>
      <c r="S28" s="35"/>
      <c r="T28" s="35"/>
      <c r="U28" s="35"/>
    </row>
    <row r="29" spans="1:21" s="117" customFormat="1" ht="24.75" customHeight="1">
      <c r="A29" s="60">
        <v>27</v>
      </c>
      <c r="B29" s="60" t="s">
        <v>150</v>
      </c>
      <c r="C29" s="60"/>
      <c r="D29" s="60" t="s">
        <v>378</v>
      </c>
      <c r="E29" s="60" t="s">
        <v>379</v>
      </c>
      <c r="F29" s="60" t="s">
        <v>540</v>
      </c>
      <c r="G29" s="60" t="s">
        <v>541</v>
      </c>
      <c r="H29" s="60">
        <v>80404</v>
      </c>
      <c r="I29" s="54" t="s">
        <v>829</v>
      </c>
      <c r="J29" s="60" t="s">
        <v>47</v>
      </c>
      <c r="K29" s="60">
        <v>700000</v>
      </c>
      <c r="L29" s="60">
        <v>5000</v>
      </c>
      <c r="M29" s="60">
        <f>Table14[[#This Row],[میاشتنی کرایه]]/2</f>
        <v>2500</v>
      </c>
      <c r="N29" s="60"/>
      <c r="O29" s="103">
        <f>Table14[[#This Row],[پیشکي]]-Table14[[#This Row],[د ۵۰ ٪ کرایی درکه]]</f>
        <v>697500</v>
      </c>
      <c r="P29" s="35"/>
      <c r="Q29" s="35"/>
      <c r="R29" s="35"/>
      <c r="S29" s="35"/>
      <c r="T29" s="35"/>
      <c r="U29" s="35"/>
    </row>
    <row r="30" spans="1:21" ht="24.75" customHeight="1">
      <c r="A30" s="25">
        <v>28</v>
      </c>
      <c r="B30" s="26" t="s">
        <v>151</v>
      </c>
      <c r="C30" s="26"/>
      <c r="D30" s="26" t="s">
        <v>380</v>
      </c>
      <c r="E30" s="26" t="s">
        <v>381</v>
      </c>
      <c r="F30" s="26" t="s">
        <v>542</v>
      </c>
      <c r="G30" s="26" t="s">
        <v>543</v>
      </c>
      <c r="H30" s="60">
        <v>3361038</v>
      </c>
      <c r="I30" s="54" t="s">
        <v>829</v>
      </c>
      <c r="J30" s="26" t="s">
        <v>47</v>
      </c>
      <c r="K30" s="37">
        <v>700000</v>
      </c>
      <c r="L30" s="26">
        <v>4000</v>
      </c>
      <c r="M30" s="26">
        <f>Table14[[#This Row],[میاشتنی کرایه]]/2</f>
        <v>2000</v>
      </c>
      <c r="N30" s="26"/>
      <c r="O30" s="103">
        <f>Table14[[#This Row],[پیشکي]]-Table14[[#This Row],[د ۵۰ ٪ کرایی درکه]]</f>
        <v>698000</v>
      </c>
      <c r="P30" s="35"/>
      <c r="Q30" s="35"/>
      <c r="R30" s="35"/>
      <c r="S30" s="35"/>
      <c r="T30" s="35"/>
      <c r="U30" s="35"/>
    </row>
    <row r="31" spans="1:21" ht="24.75" customHeight="1">
      <c r="A31" s="25">
        <v>29</v>
      </c>
      <c r="B31" s="26" t="s">
        <v>152</v>
      </c>
      <c r="C31" s="26"/>
      <c r="D31" s="26" t="s">
        <v>382</v>
      </c>
      <c r="E31" s="26" t="s">
        <v>383</v>
      </c>
      <c r="F31" s="26" t="s">
        <v>544</v>
      </c>
      <c r="G31" s="26" t="s">
        <v>545</v>
      </c>
      <c r="H31" s="60">
        <v>18114662</v>
      </c>
      <c r="I31" s="54" t="s">
        <v>829</v>
      </c>
      <c r="J31" s="26" t="s">
        <v>47</v>
      </c>
      <c r="K31" s="37">
        <v>700000</v>
      </c>
      <c r="L31" s="26">
        <v>4000</v>
      </c>
      <c r="M31" s="26">
        <f>Table14[[#This Row],[میاشتنی کرایه]]/2</f>
        <v>2000</v>
      </c>
      <c r="N31" s="26"/>
      <c r="O31" s="103">
        <f>Table14[[#This Row],[پیشکي]]-Table14[[#This Row],[د ۵۰ ٪ کرایی درکه]]</f>
        <v>698000</v>
      </c>
      <c r="P31" s="35"/>
      <c r="Q31" s="35"/>
      <c r="R31" s="35"/>
      <c r="S31" s="35"/>
      <c r="T31" s="35"/>
      <c r="U31" s="35"/>
    </row>
    <row r="32" spans="1:21" ht="24.75" customHeight="1">
      <c r="A32" s="25">
        <v>30</v>
      </c>
      <c r="B32" s="26" t="s">
        <v>153</v>
      </c>
      <c r="C32" s="26"/>
      <c r="D32" s="26" t="s">
        <v>384</v>
      </c>
      <c r="E32" s="26" t="s">
        <v>298</v>
      </c>
      <c r="F32" s="26" t="s">
        <v>546</v>
      </c>
      <c r="G32" s="26" t="s">
        <v>547</v>
      </c>
      <c r="H32" s="60">
        <v>453534</v>
      </c>
      <c r="I32" s="54" t="s">
        <v>829</v>
      </c>
      <c r="J32" s="26" t="s">
        <v>47</v>
      </c>
      <c r="K32" s="37">
        <v>50000</v>
      </c>
      <c r="L32" s="26">
        <v>4000</v>
      </c>
      <c r="M32" s="26">
        <f>Table14[[#This Row],[میاشتنی کرایه]]/2</f>
        <v>2000</v>
      </c>
      <c r="N32" s="26"/>
      <c r="O32" s="103">
        <f>Table14[[#This Row],[پیشکي]]-Table14[[#This Row],[د ۵۰ ٪ کرایی درکه]]</f>
        <v>48000</v>
      </c>
      <c r="P32" s="35"/>
      <c r="Q32" s="35"/>
      <c r="R32" s="35"/>
      <c r="S32" s="35"/>
      <c r="T32" s="35"/>
      <c r="U32" s="35"/>
    </row>
    <row r="33" spans="1:21" s="62" customFormat="1" ht="24.75" customHeight="1">
      <c r="A33" s="59">
        <v>31</v>
      </c>
      <c r="B33" s="60" t="s">
        <v>154</v>
      </c>
      <c r="C33" s="60"/>
      <c r="D33" s="60" t="s">
        <v>385</v>
      </c>
      <c r="E33" s="60" t="s">
        <v>386</v>
      </c>
      <c r="F33" s="60" t="s">
        <v>548</v>
      </c>
      <c r="G33" s="60" t="s">
        <v>549</v>
      </c>
      <c r="H33" s="60">
        <v>984298</v>
      </c>
      <c r="I33" s="54" t="s">
        <v>829</v>
      </c>
      <c r="J33" s="60" t="s">
        <v>47</v>
      </c>
      <c r="K33" s="61">
        <v>1200000</v>
      </c>
      <c r="L33" s="60">
        <v>5000</v>
      </c>
      <c r="M33" s="60">
        <f>Table14[[#This Row],[میاشتنی کرایه]]/2</f>
        <v>2500</v>
      </c>
      <c r="N33" s="60"/>
      <c r="O33" s="103">
        <f>Table14[[#This Row],[پیشکي]]-Table14[[#This Row],[د ۵۰ ٪ کرایی درکه]]</f>
        <v>1197500</v>
      </c>
      <c r="P33" s="35"/>
      <c r="Q33" s="35"/>
      <c r="R33" s="35"/>
      <c r="S33" s="35"/>
      <c r="T33" s="35"/>
      <c r="U33" s="35"/>
    </row>
    <row r="34" spans="1:21" s="62" customFormat="1" ht="24.75" customHeight="1">
      <c r="A34" s="59">
        <v>32</v>
      </c>
      <c r="B34" s="60" t="s">
        <v>155</v>
      </c>
      <c r="C34" s="60"/>
      <c r="D34" s="60" t="s">
        <v>385</v>
      </c>
      <c r="E34" s="60" t="s">
        <v>386</v>
      </c>
      <c r="F34" s="60" t="s">
        <v>548</v>
      </c>
      <c r="G34" s="60" t="s">
        <v>549</v>
      </c>
      <c r="H34" s="60"/>
      <c r="I34" s="54" t="s">
        <v>829</v>
      </c>
      <c r="J34" s="60" t="s">
        <v>47</v>
      </c>
      <c r="K34" s="61">
        <v>700000</v>
      </c>
      <c r="L34" s="60">
        <v>5000</v>
      </c>
      <c r="M34" s="60">
        <f>Table14[[#This Row],[میاشتنی کرایه]]/2</f>
        <v>2500</v>
      </c>
      <c r="N34" s="60"/>
      <c r="O34" s="103">
        <f>Table14[[#This Row],[پیشکي]]-Table14[[#This Row],[د ۵۰ ٪ کرایی درکه]]</f>
        <v>697500</v>
      </c>
      <c r="P34" s="35"/>
      <c r="Q34" s="35"/>
      <c r="R34" s="35"/>
      <c r="S34" s="35"/>
      <c r="T34" s="35"/>
      <c r="U34" s="35"/>
    </row>
    <row r="35" spans="1:21" ht="24.75" customHeight="1">
      <c r="A35" s="25">
        <v>33</v>
      </c>
      <c r="B35" s="26" t="s">
        <v>156</v>
      </c>
      <c r="C35" s="26"/>
      <c r="D35" s="26" t="s">
        <v>388</v>
      </c>
      <c r="E35" s="26" t="s">
        <v>386</v>
      </c>
      <c r="F35" s="60" t="s">
        <v>548</v>
      </c>
      <c r="G35" s="60" t="s">
        <v>549</v>
      </c>
      <c r="H35" s="60">
        <v>12571621</v>
      </c>
      <c r="I35" s="54" t="s">
        <v>829</v>
      </c>
      <c r="J35" s="26" t="s">
        <v>47</v>
      </c>
      <c r="K35" s="37">
        <v>600000</v>
      </c>
      <c r="L35" s="60">
        <v>5000</v>
      </c>
      <c r="M35" s="26">
        <f>Table14[[#This Row],[میاشتنی کرایه]]/2</f>
        <v>2500</v>
      </c>
      <c r="N35" s="26"/>
      <c r="O35" s="103">
        <f>Table14[[#This Row],[پیشکي]]-Table14[[#This Row],[د ۵۰ ٪ کرایی درکه]]</f>
        <v>597500</v>
      </c>
      <c r="P35" s="35"/>
      <c r="Q35" s="35"/>
      <c r="R35" s="35"/>
      <c r="S35" s="35"/>
      <c r="T35" s="35"/>
      <c r="U35" s="35"/>
    </row>
    <row r="36" spans="1:21" ht="24.75" customHeight="1">
      <c r="A36" s="25">
        <v>34</v>
      </c>
      <c r="B36" s="26" t="s">
        <v>157</v>
      </c>
      <c r="C36" s="26"/>
      <c r="D36" s="26" t="s">
        <v>388</v>
      </c>
      <c r="E36" s="26" t="s">
        <v>386</v>
      </c>
      <c r="F36" s="60" t="s">
        <v>548</v>
      </c>
      <c r="G36" s="60" t="s">
        <v>549</v>
      </c>
      <c r="H36" s="60">
        <v>973733</v>
      </c>
      <c r="I36" s="54" t="s">
        <v>829</v>
      </c>
      <c r="J36" s="26" t="s">
        <v>47</v>
      </c>
      <c r="K36" s="37" t="s">
        <v>739</v>
      </c>
      <c r="L36" s="60">
        <v>5000</v>
      </c>
      <c r="M36" s="26">
        <f>Table14[[#This Row],[میاشتنی کرایه]]/2</f>
        <v>2500</v>
      </c>
      <c r="N36" s="26">
        <f>67*10000</f>
        <v>670000</v>
      </c>
      <c r="O36" s="103" t="e">
        <f>Table14[[#This Row],[پیشکي]]-Table14[[#This Row],[د ۵۰ ٪ کرایی درکه]]</f>
        <v>#VALUE!</v>
      </c>
      <c r="P36" s="35"/>
      <c r="Q36" s="35"/>
      <c r="R36" s="35"/>
      <c r="S36" s="35"/>
      <c r="T36" s="35"/>
      <c r="U36" s="35"/>
    </row>
    <row r="37" spans="1:21" ht="24.75" customHeight="1">
      <c r="A37" s="25">
        <v>35</v>
      </c>
      <c r="B37" s="26" t="s">
        <v>158</v>
      </c>
      <c r="C37" s="26"/>
      <c r="D37" s="26" t="s">
        <v>389</v>
      </c>
      <c r="E37" s="26" t="s">
        <v>390</v>
      </c>
      <c r="F37" s="26" t="s">
        <v>481</v>
      </c>
      <c r="G37" s="26" t="s">
        <v>550</v>
      </c>
      <c r="H37" s="60">
        <v>213430</v>
      </c>
      <c r="I37" s="54" t="s">
        <v>829</v>
      </c>
      <c r="J37" s="26" t="s">
        <v>47</v>
      </c>
      <c r="K37" s="37">
        <v>600000</v>
      </c>
      <c r="L37" s="60">
        <v>5000</v>
      </c>
      <c r="M37" s="26">
        <f>Table14[[#This Row],[میاشتنی کرایه]]/2</f>
        <v>2500</v>
      </c>
      <c r="N37" s="26"/>
      <c r="O37" s="103">
        <f>Table14[[#This Row],[پیشکي]]-Table14[[#This Row],[د ۵۰ ٪ کرایی درکه]]</f>
        <v>597500</v>
      </c>
      <c r="P37" s="66"/>
      <c r="Q37" s="66"/>
      <c r="R37" s="66"/>
      <c r="S37" s="66"/>
      <c r="T37" s="66"/>
      <c r="U37" s="66"/>
    </row>
    <row r="38" spans="1:21" ht="24.75" customHeight="1">
      <c r="A38" s="25">
        <v>36</v>
      </c>
      <c r="B38" s="26" t="s">
        <v>159</v>
      </c>
      <c r="C38" s="26"/>
      <c r="D38" s="26" t="s">
        <v>391</v>
      </c>
      <c r="E38" s="26" t="s">
        <v>551</v>
      </c>
      <c r="F38" s="26" t="s">
        <v>392</v>
      </c>
      <c r="G38" s="26" t="s">
        <v>552</v>
      </c>
      <c r="H38" s="60">
        <v>20144383</v>
      </c>
      <c r="I38" s="54" t="s">
        <v>829</v>
      </c>
      <c r="J38" s="26" t="s">
        <v>47</v>
      </c>
      <c r="K38" s="37">
        <v>700000</v>
      </c>
      <c r="L38" s="60">
        <v>5000</v>
      </c>
      <c r="M38" s="26">
        <f>Table14[[#This Row],[میاشتنی کرایه]]/2</f>
        <v>2500</v>
      </c>
      <c r="N38" s="26"/>
      <c r="O38" s="103">
        <f>Table14[[#This Row],[پیشکي]]-Table14[[#This Row],[د ۵۰ ٪ کرایی درکه]]</f>
        <v>697500</v>
      </c>
      <c r="P38" s="66"/>
      <c r="Q38" s="66"/>
      <c r="R38" s="66"/>
      <c r="S38" s="66"/>
      <c r="T38" s="66"/>
      <c r="U38" s="66"/>
    </row>
    <row r="39" spans="1:21" ht="24.75" customHeight="1">
      <c r="A39" s="25">
        <v>37</v>
      </c>
      <c r="B39" s="26" t="s">
        <v>160</v>
      </c>
      <c r="C39" s="26"/>
      <c r="D39" s="26" t="s">
        <v>393</v>
      </c>
      <c r="E39" s="26" t="s">
        <v>394</v>
      </c>
      <c r="F39" s="26" t="s">
        <v>553</v>
      </c>
      <c r="G39" s="26" t="s">
        <v>554</v>
      </c>
      <c r="H39" s="60">
        <v>21753362</v>
      </c>
      <c r="I39" s="54" t="s">
        <v>829</v>
      </c>
      <c r="J39" s="26" t="s">
        <v>47</v>
      </c>
      <c r="K39" s="37">
        <v>400000</v>
      </c>
      <c r="L39" s="60">
        <v>5000</v>
      </c>
      <c r="M39" s="26">
        <f>Table14[[#This Row],[میاشتنی کرایه]]/2</f>
        <v>2500</v>
      </c>
      <c r="N39" s="26"/>
      <c r="O39" s="103">
        <f>Table14[[#This Row],[پیشکي]]-Table14[[#This Row],[د ۵۰ ٪ کرایی درکه]]</f>
        <v>397500</v>
      </c>
      <c r="P39" s="88"/>
      <c r="Q39" s="88"/>
      <c r="R39" s="88"/>
      <c r="S39" s="88"/>
      <c r="T39" s="88"/>
      <c r="U39" s="88"/>
    </row>
    <row r="40" spans="1:21" s="120" customFormat="1" ht="24.75" customHeight="1">
      <c r="A40" s="115">
        <v>38</v>
      </c>
      <c r="B40" s="115" t="s">
        <v>161</v>
      </c>
      <c r="C40" s="115"/>
      <c r="D40" s="115" t="s">
        <v>492</v>
      </c>
      <c r="E40" s="115" t="s">
        <v>493</v>
      </c>
      <c r="F40" s="115"/>
      <c r="G40" s="115"/>
      <c r="H40" s="115"/>
      <c r="I40" s="54" t="s">
        <v>829</v>
      </c>
      <c r="J40" s="115" t="s">
        <v>47</v>
      </c>
      <c r="K40" s="115" t="s">
        <v>652</v>
      </c>
      <c r="L40" s="115">
        <v>5000</v>
      </c>
      <c r="M40" s="115">
        <v>0</v>
      </c>
      <c r="O40" s="120" t="e">
        <f>Table14[[#This Row],[پیشکي]]-Table14[[#This Row],[د ۵۰ ٪ کرایی درکه]]</f>
        <v>#VALUE!</v>
      </c>
    </row>
    <row r="41" spans="1:21" s="120" customFormat="1" ht="24.75" customHeight="1">
      <c r="A41" s="115">
        <v>39</v>
      </c>
      <c r="B41" s="115" t="s">
        <v>162</v>
      </c>
      <c r="C41" s="115"/>
      <c r="D41" s="115" t="s">
        <v>492</v>
      </c>
      <c r="E41" s="115" t="s">
        <v>493</v>
      </c>
      <c r="F41" s="115"/>
      <c r="G41" s="115"/>
      <c r="H41" s="115"/>
      <c r="I41" s="54" t="s">
        <v>829</v>
      </c>
      <c r="J41" s="115" t="s">
        <v>47</v>
      </c>
      <c r="K41" s="115" t="s">
        <v>652</v>
      </c>
      <c r="L41" s="115">
        <v>5000</v>
      </c>
      <c r="M41" s="115">
        <v>0</v>
      </c>
      <c r="O41" s="120" t="e">
        <f>Table14[[#This Row],[پیشکي]]-Table14[[#This Row],[د ۵۰ ٪ کرایی درکه]]</f>
        <v>#VALUE!</v>
      </c>
    </row>
    <row r="42" spans="1:21" s="117" customFormat="1" ht="24.75" customHeight="1">
      <c r="A42" s="26">
        <v>40</v>
      </c>
      <c r="B42" s="26" t="s">
        <v>163</v>
      </c>
      <c r="C42" s="26"/>
      <c r="D42" s="26" t="s">
        <v>505</v>
      </c>
      <c r="E42" s="26" t="s">
        <v>740</v>
      </c>
      <c r="F42" s="26"/>
      <c r="G42" s="26"/>
      <c r="H42" s="26"/>
      <c r="I42" s="54" t="s">
        <v>829</v>
      </c>
      <c r="J42" s="26" t="s">
        <v>47</v>
      </c>
      <c r="K42" s="26">
        <v>950000</v>
      </c>
      <c r="L42" s="26">
        <v>5000</v>
      </c>
      <c r="M42" s="26">
        <f>Table14[[#This Row],[میاشتنی کرایه]]/2</f>
        <v>2500</v>
      </c>
      <c r="N42" s="26"/>
      <c r="O42" s="103">
        <f>Table14[[#This Row],[پیشکي]]-Table14[[#This Row],[د ۵۰ ٪ کرایی درکه]]</f>
        <v>947500</v>
      </c>
      <c r="P42" s="35"/>
      <c r="Q42" s="35"/>
      <c r="R42" s="35"/>
      <c r="S42" s="35"/>
      <c r="T42" s="35"/>
      <c r="U42" s="35"/>
    </row>
    <row r="43" spans="1:21" ht="24.75" customHeight="1">
      <c r="A43" s="25">
        <v>41</v>
      </c>
      <c r="B43" s="26" t="s">
        <v>164</v>
      </c>
      <c r="C43" s="26"/>
      <c r="D43" s="26" t="s">
        <v>395</v>
      </c>
      <c r="E43" s="26" t="s">
        <v>396</v>
      </c>
      <c r="F43" s="26" t="s">
        <v>555</v>
      </c>
      <c r="G43" s="26" t="s">
        <v>556</v>
      </c>
      <c r="H43" s="60">
        <v>36218</v>
      </c>
      <c r="I43" s="54" t="s">
        <v>829</v>
      </c>
      <c r="J43" s="26" t="s">
        <v>47</v>
      </c>
      <c r="K43" s="37">
        <v>700000</v>
      </c>
      <c r="L43" s="26">
        <v>4000</v>
      </c>
      <c r="M43" s="26">
        <f>Table14[[#This Row],[میاشتنی کرایه]]/2</f>
        <v>2000</v>
      </c>
      <c r="N43" s="26"/>
      <c r="O43" s="103">
        <f>Table14[[#This Row],[پیشکي]]-Table14[[#This Row],[د ۵۰ ٪ کرایی درکه]]</f>
        <v>698000</v>
      </c>
      <c r="P43" s="35"/>
      <c r="Q43" s="35"/>
      <c r="R43" s="35"/>
      <c r="S43" s="35"/>
      <c r="T43" s="35"/>
      <c r="U43" s="35"/>
    </row>
    <row r="44" spans="1:21" ht="24.75" customHeight="1">
      <c r="A44" s="25">
        <v>42</v>
      </c>
      <c r="B44" s="26" t="s">
        <v>165</v>
      </c>
      <c r="C44" s="26"/>
      <c r="D44" s="26" t="s">
        <v>284</v>
      </c>
      <c r="E44" s="26" t="s">
        <v>397</v>
      </c>
      <c r="F44" s="26" t="s">
        <v>557</v>
      </c>
      <c r="G44" s="26" t="s">
        <v>541</v>
      </c>
      <c r="H44" s="60" t="s">
        <v>558</v>
      </c>
      <c r="I44" s="54" t="s">
        <v>829</v>
      </c>
      <c r="J44" s="26" t="s">
        <v>47</v>
      </c>
      <c r="K44" s="37">
        <v>700000</v>
      </c>
      <c r="L44" s="26">
        <v>4000</v>
      </c>
      <c r="M44" s="26">
        <f>Table14[[#This Row],[میاشتنی کرایه]]/2</f>
        <v>2000</v>
      </c>
      <c r="N44" s="26"/>
      <c r="O44" s="103">
        <f>Table14[[#This Row],[پیشکي]]-Table14[[#This Row],[د ۵۰ ٪ کرایی درکه]]</f>
        <v>698000</v>
      </c>
      <c r="P44" s="35"/>
      <c r="Q44" s="35"/>
      <c r="R44" s="35"/>
      <c r="S44" s="35"/>
      <c r="T44" s="35"/>
      <c r="U44" s="35"/>
    </row>
    <row r="45" spans="1:21" ht="24.75" customHeight="1">
      <c r="A45" s="25">
        <v>43</v>
      </c>
      <c r="B45" s="26" t="s">
        <v>166</v>
      </c>
      <c r="C45" s="26"/>
      <c r="D45" s="26" t="s">
        <v>398</v>
      </c>
      <c r="E45" s="26" t="s">
        <v>399</v>
      </c>
      <c r="F45" s="26" t="s">
        <v>559</v>
      </c>
      <c r="G45" s="26" t="s">
        <v>541</v>
      </c>
      <c r="H45" s="60">
        <v>76256</v>
      </c>
      <c r="I45" s="54" t="s">
        <v>829</v>
      </c>
      <c r="J45" s="26" t="s">
        <v>47</v>
      </c>
      <c r="K45" s="26">
        <v>200000</v>
      </c>
      <c r="L45" s="26">
        <v>4000</v>
      </c>
      <c r="M45" s="26">
        <f>Table14[[#This Row],[میاشتنی کرایه]]/2</f>
        <v>2000</v>
      </c>
      <c r="N45" s="26"/>
      <c r="O45" s="103">
        <f>Table14[[#This Row],[پیشکي]]-Table14[[#This Row],[د ۵۰ ٪ کرایی درکه]]</f>
        <v>198000</v>
      </c>
      <c r="P45" s="88"/>
      <c r="Q45" s="88"/>
      <c r="R45" s="88"/>
      <c r="S45" s="88"/>
      <c r="T45" s="88"/>
      <c r="U45" s="88"/>
    </row>
    <row r="46" spans="1:21" ht="24.75" customHeight="1">
      <c r="A46" s="25">
        <v>44</v>
      </c>
      <c r="B46" s="26" t="s">
        <v>167</v>
      </c>
      <c r="C46" s="26"/>
      <c r="D46" s="26" t="s">
        <v>400</v>
      </c>
      <c r="E46" s="26" t="s">
        <v>401</v>
      </c>
      <c r="F46" s="26" t="s">
        <v>560</v>
      </c>
      <c r="G46" s="26" t="s">
        <v>561</v>
      </c>
      <c r="H46" s="60">
        <v>30141140</v>
      </c>
      <c r="I46" s="54" t="s">
        <v>829</v>
      </c>
      <c r="J46" s="26" t="s">
        <v>47</v>
      </c>
      <c r="K46" s="37">
        <v>500000</v>
      </c>
      <c r="L46" s="26">
        <v>4000</v>
      </c>
      <c r="M46" s="26">
        <f>Table14[[#This Row],[میاشتنی کرایه]]/2</f>
        <v>2000</v>
      </c>
      <c r="N46" s="26"/>
      <c r="O46" s="103">
        <f>Table14[[#This Row],[پیشکي]]-Table14[[#This Row],[د ۵۰ ٪ کرایی درکه]]</f>
        <v>498000</v>
      </c>
      <c r="P46" s="88"/>
      <c r="Q46" s="88"/>
      <c r="R46" s="88"/>
      <c r="S46" s="88"/>
      <c r="T46" s="88"/>
      <c r="U46" s="88"/>
    </row>
    <row r="47" spans="1:21" ht="24.75" customHeight="1">
      <c r="A47" s="25">
        <v>45</v>
      </c>
      <c r="B47" s="26" t="s">
        <v>168</v>
      </c>
      <c r="C47" s="26"/>
      <c r="D47" s="26" t="s">
        <v>402</v>
      </c>
      <c r="E47" s="26" t="s">
        <v>284</v>
      </c>
      <c r="F47" s="26" t="s">
        <v>562</v>
      </c>
      <c r="G47" s="26" t="s">
        <v>563</v>
      </c>
      <c r="H47" s="60">
        <v>1711384</v>
      </c>
      <c r="I47" s="54" t="s">
        <v>829</v>
      </c>
      <c r="J47" s="26" t="s">
        <v>47</v>
      </c>
      <c r="K47" s="37">
        <v>700000</v>
      </c>
      <c r="L47" s="26">
        <v>4000</v>
      </c>
      <c r="M47" s="26">
        <f>Table14[[#This Row],[میاشتنی کرایه]]/2</f>
        <v>2000</v>
      </c>
      <c r="N47" s="26"/>
      <c r="O47" s="103">
        <f>Table14[[#This Row],[پیشکي]]-Table14[[#This Row],[د ۵۰ ٪ کرایی درکه]]</f>
        <v>698000</v>
      </c>
      <c r="P47" s="35"/>
      <c r="Q47" s="35"/>
      <c r="R47" s="35"/>
      <c r="S47" s="35"/>
      <c r="T47" s="35"/>
      <c r="U47" s="35"/>
    </row>
    <row r="48" spans="1:21" ht="24.75" customHeight="1">
      <c r="A48" s="25">
        <v>46</v>
      </c>
      <c r="B48" s="26" t="s">
        <v>169</v>
      </c>
      <c r="C48" s="26"/>
      <c r="D48" s="26" t="s">
        <v>403</v>
      </c>
      <c r="E48" s="26" t="s">
        <v>404</v>
      </c>
      <c r="F48" s="26" t="s">
        <v>564</v>
      </c>
      <c r="G48" s="26" t="s">
        <v>565</v>
      </c>
      <c r="H48" s="60">
        <v>29923683</v>
      </c>
      <c r="I48" s="54" t="s">
        <v>829</v>
      </c>
      <c r="J48" s="26" t="s">
        <v>47</v>
      </c>
      <c r="K48" s="37">
        <v>700000</v>
      </c>
      <c r="L48" s="26">
        <v>4000</v>
      </c>
      <c r="M48" s="26">
        <f>Table14[[#This Row],[میاشتنی کرایه]]/2</f>
        <v>2000</v>
      </c>
      <c r="N48" s="26"/>
      <c r="O48" s="103">
        <f>Table14[[#This Row],[پیشکي]]-Table14[[#This Row],[د ۵۰ ٪ کرایی درکه]]</f>
        <v>698000</v>
      </c>
      <c r="P48" s="88"/>
      <c r="Q48" s="88"/>
      <c r="R48" s="88"/>
      <c r="S48" s="88"/>
      <c r="T48" s="88"/>
      <c r="U48" s="88"/>
    </row>
    <row r="49" spans="1:21" ht="24.75" customHeight="1">
      <c r="A49" s="25">
        <v>47</v>
      </c>
      <c r="B49" s="26" t="s">
        <v>170</v>
      </c>
      <c r="C49" s="26"/>
      <c r="D49" s="26" t="s">
        <v>405</v>
      </c>
      <c r="E49" s="26" t="s">
        <v>406</v>
      </c>
      <c r="F49" s="26" t="s">
        <v>566</v>
      </c>
      <c r="G49" s="26" t="s">
        <v>567</v>
      </c>
      <c r="H49" s="60">
        <v>17816</v>
      </c>
      <c r="I49" s="54" t="s">
        <v>829</v>
      </c>
      <c r="J49" s="26" t="s">
        <v>47</v>
      </c>
      <c r="K49" s="37">
        <v>700000</v>
      </c>
      <c r="L49" s="26">
        <v>5000</v>
      </c>
      <c r="M49" s="26">
        <f>Table14[[#This Row],[میاشتنی کرایه]]/2</f>
        <v>2500</v>
      </c>
      <c r="N49" s="26"/>
      <c r="O49" s="103">
        <f>Table14[[#This Row],[پیشکي]]-Table14[[#This Row],[د ۵۰ ٪ کرایی درکه]]</f>
        <v>697500</v>
      </c>
      <c r="P49" s="88"/>
      <c r="Q49" s="88"/>
      <c r="R49" s="88"/>
      <c r="S49" s="88"/>
      <c r="T49" s="88"/>
      <c r="U49" s="88"/>
    </row>
    <row r="50" spans="1:21" s="120" customFormat="1" ht="24.75" customHeight="1">
      <c r="A50" s="115">
        <v>48</v>
      </c>
      <c r="B50" s="115" t="s">
        <v>171</v>
      </c>
      <c r="C50" s="115"/>
      <c r="D50" s="115" t="s">
        <v>345</v>
      </c>
      <c r="E50" s="115" t="s">
        <v>721</v>
      </c>
      <c r="F50" s="115"/>
      <c r="G50" s="115"/>
      <c r="H50" s="115"/>
      <c r="I50" s="54" t="s">
        <v>829</v>
      </c>
      <c r="J50" s="115" t="s">
        <v>47</v>
      </c>
      <c r="K50" s="115">
        <v>0</v>
      </c>
      <c r="L50" s="115">
        <v>5000</v>
      </c>
      <c r="M50" s="115"/>
      <c r="O50" s="120">
        <f>Table14[[#This Row],[پیشکي]]-Table14[[#This Row],[د ۵۰ ٪ کرایی درکه]]</f>
        <v>0</v>
      </c>
    </row>
    <row r="51" spans="1:21" s="120" customFormat="1" ht="24.75" customHeight="1">
      <c r="A51" s="115">
        <v>49</v>
      </c>
      <c r="B51" s="115" t="s">
        <v>172</v>
      </c>
      <c r="C51" s="115"/>
      <c r="D51" s="115" t="s">
        <v>345</v>
      </c>
      <c r="E51" s="115" t="s">
        <v>721</v>
      </c>
      <c r="F51" s="115"/>
      <c r="G51" s="115"/>
      <c r="H51" s="115"/>
      <c r="I51" s="54" t="s">
        <v>829</v>
      </c>
      <c r="J51" s="115" t="s">
        <v>47</v>
      </c>
      <c r="K51" s="115">
        <v>0</v>
      </c>
      <c r="L51" s="115">
        <v>5000</v>
      </c>
      <c r="M51" s="115"/>
      <c r="O51" s="120">
        <f>Table14[[#This Row],[پیشکي]]-Table14[[#This Row],[د ۵۰ ٪ کرایی درکه]]</f>
        <v>0</v>
      </c>
    </row>
    <row r="52" spans="1:21" ht="24.75" customHeight="1">
      <c r="A52" s="25">
        <v>50</v>
      </c>
      <c r="B52" s="26" t="s">
        <v>173</v>
      </c>
      <c r="C52" s="26"/>
      <c r="D52" s="26" t="s">
        <v>393</v>
      </c>
      <c r="E52" s="26" t="s">
        <v>394</v>
      </c>
      <c r="F52" s="26" t="s">
        <v>553</v>
      </c>
      <c r="G52" s="26" t="s">
        <v>554</v>
      </c>
      <c r="H52" s="60">
        <v>21753362</v>
      </c>
      <c r="I52" s="54" t="s">
        <v>829</v>
      </c>
      <c r="J52" s="26" t="s">
        <v>47</v>
      </c>
      <c r="K52" s="37">
        <v>400000</v>
      </c>
      <c r="L52" s="26">
        <v>5000</v>
      </c>
      <c r="M52" s="26">
        <f>Table14[[#This Row],[میاشتنی کرایه]]/2</f>
        <v>2500</v>
      </c>
      <c r="N52" s="26"/>
      <c r="O52" s="103">
        <f>Table14[[#This Row],[پیشکي]]-Table14[[#This Row],[د ۵۰ ٪ کرایی درکه]]</f>
        <v>397500</v>
      </c>
      <c r="P52" s="88"/>
      <c r="Q52" s="88"/>
      <c r="R52" s="88"/>
      <c r="S52" s="88"/>
      <c r="T52" s="88"/>
      <c r="U52" s="88"/>
    </row>
    <row r="53" spans="1:21" s="62" customFormat="1" ht="24.75" customHeight="1">
      <c r="A53" s="59">
        <v>51</v>
      </c>
      <c r="B53" s="60" t="s">
        <v>174</v>
      </c>
      <c r="C53" s="60"/>
      <c r="D53" s="60" t="s">
        <v>407</v>
      </c>
      <c r="E53" s="60" t="s">
        <v>726</v>
      </c>
      <c r="F53" s="60"/>
      <c r="G53" s="60"/>
      <c r="H53" s="60"/>
      <c r="I53" s="54" t="s">
        <v>829</v>
      </c>
      <c r="J53" s="60" t="s">
        <v>47</v>
      </c>
      <c r="K53" s="61">
        <v>1200000</v>
      </c>
      <c r="L53" s="60">
        <v>6000</v>
      </c>
      <c r="M53" s="60">
        <f>Table14[[#This Row],[میاشتنی کرایه]]/2</f>
        <v>3000</v>
      </c>
      <c r="N53" s="60"/>
      <c r="O53" s="103">
        <f>Table14[[#This Row],[پیشکي]]-Table14[[#This Row],[د ۵۰ ٪ کرایی درکه]]</f>
        <v>1197000</v>
      </c>
      <c r="P53" s="82"/>
      <c r="Q53" s="82"/>
      <c r="R53" s="82"/>
      <c r="S53" s="82"/>
      <c r="T53" s="82"/>
      <c r="U53" s="82"/>
    </row>
    <row r="54" spans="1:21" s="62" customFormat="1" ht="24.75" customHeight="1">
      <c r="A54" s="59">
        <v>52</v>
      </c>
      <c r="B54" s="60" t="s">
        <v>175</v>
      </c>
      <c r="C54" s="60"/>
      <c r="D54" s="60" t="s">
        <v>407</v>
      </c>
      <c r="E54" s="60" t="s">
        <v>726</v>
      </c>
      <c r="F54" s="60"/>
      <c r="G54" s="60"/>
      <c r="H54" s="60"/>
      <c r="I54" s="54" t="s">
        <v>829</v>
      </c>
      <c r="J54" s="60" t="s">
        <v>47</v>
      </c>
      <c r="K54" s="61">
        <v>700000</v>
      </c>
      <c r="L54" s="60">
        <v>5000</v>
      </c>
      <c r="M54" s="60">
        <f>Table14[[#This Row],[میاشتنی کرایه]]/2</f>
        <v>2500</v>
      </c>
      <c r="N54" s="60"/>
      <c r="O54" s="103">
        <f>Table14[[#This Row],[پیشکي]]-Table14[[#This Row],[د ۵۰ ٪ کرایی درکه]]</f>
        <v>697500</v>
      </c>
      <c r="P54" s="82"/>
      <c r="Q54" s="82"/>
      <c r="R54" s="82"/>
      <c r="S54" s="82"/>
      <c r="T54" s="82"/>
      <c r="U54" s="82"/>
    </row>
    <row r="55" spans="1:21" s="166" customFormat="1" ht="24.75" customHeight="1">
      <c r="A55" s="160">
        <v>53</v>
      </c>
      <c r="B55" s="161" t="s">
        <v>176</v>
      </c>
      <c r="C55" s="161"/>
      <c r="D55" s="161" t="s">
        <v>722</v>
      </c>
      <c r="E55" s="161" t="s">
        <v>723</v>
      </c>
      <c r="F55" s="161" t="s">
        <v>724</v>
      </c>
      <c r="G55" s="161" t="s">
        <v>725</v>
      </c>
      <c r="H55" s="162">
        <v>938494</v>
      </c>
      <c r="I55" s="54" t="s">
        <v>829</v>
      </c>
      <c r="J55" s="161" t="s">
        <v>47</v>
      </c>
      <c r="K55" s="163">
        <v>630000</v>
      </c>
      <c r="L55" s="161">
        <v>5000</v>
      </c>
      <c r="M55" s="161">
        <f>Table14[[#This Row],[میاشتنی کرایه]]/2</f>
        <v>2500</v>
      </c>
      <c r="N55" s="161"/>
      <c r="O55" s="164">
        <f>Table14[[#This Row],[پیشکي]]-Table14[[#This Row],[د ۵۰ ٪ کرایی درکه]]</f>
        <v>627500</v>
      </c>
      <c r="P55" s="165"/>
      <c r="Q55" s="165"/>
      <c r="R55" s="165"/>
      <c r="S55" s="165"/>
      <c r="T55" s="165"/>
      <c r="U55" s="165"/>
    </row>
    <row r="56" spans="1:21" ht="24.75" customHeight="1">
      <c r="A56" s="25">
        <v>54</v>
      </c>
      <c r="B56" s="26" t="s">
        <v>177</v>
      </c>
      <c r="C56" s="26"/>
      <c r="D56" s="26" t="s">
        <v>408</v>
      </c>
      <c r="E56" s="26" t="s">
        <v>409</v>
      </c>
      <c r="F56" s="26" t="s">
        <v>568</v>
      </c>
      <c r="G56" s="26" t="s">
        <v>541</v>
      </c>
      <c r="H56" s="60">
        <v>42536</v>
      </c>
      <c r="I56" s="54" t="s">
        <v>829</v>
      </c>
      <c r="J56" s="26" t="s">
        <v>47</v>
      </c>
      <c r="K56" s="37">
        <v>550000</v>
      </c>
      <c r="L56" s="60">
        <v>5000</v>
      </c>
      <c r="M56" s="26">
        <f>Table14[[#This Row],[میاشتنی کرایه]]/2</f>
        <v>2500</v>
      </c>
      <c r="N56" s="26"/>
      <c r="O56" s="103">
        <f>Table14[[#This Row],[پیشکي]]-Table14[[#This Row],[د ۵۰ ٪ کرایی درکه]]</f>
        <v>547500</v>
      </c>
      <c r="P56" s="35"/>
      <c r="Q56" s="35"/>
      <c r="R56" s="35"/>
      <c r="S56" s="35"/>
      <c r="T56" s="35"/>
      <c r="U56" s="35"/>
    </row>
    <row r="57" spans="1:21" ht="24.75" customHeight="1">
      <c r="A57" s="25">
        <v>55</v>
      </c>
      <c r="B57" s="26" t="s">
        <v>178</v>
      </c>
      <c r="C57" s="26"/>
      <c r="D57" s="26" t="s">
        <v>741</v>
      </c>
      <c r="E57" s="26" t="s">
        <v>742</v>
      </c>
      <c r="F57" s="26" t="s">
        <v>743</v>
      </c>
      <c r="G57" s="26" t="s">
        <v>545</v>
      </c>
      <c r="H57" s="60">
        <v>17257331</v>
      </c>
      <c r="I57" s="54" t="s">
        <v>829</v>
      </c>
      <c r="J57" s="26" t="s">
        <v>47</v>
      </c>
      <c r="K57" s="37">
        <v>700000</v>
      </c>
      <c r="L57" s="60">
        <v>5000</v>
      </c>
      <c r="M57" s="26">
        <f>Table14[[#This Row],[میاشتنی کرایه]]/2</f>
        <v>2500</v>
      </c>
      <c r="N57" s="26"/>
      <c r="O57" s="103">
        <f>Table14[[#This Row],[پیشکي]]-Table14[[#This Row],[د ۵۰ ٪ کرایی درکه]]</f>
        <v>697500</v>
      </c>
      <c r="P57" s="35"/>
      <c r="Q57" s="35"/>
      <c r="R57" s="35"/>
      <c r="S57" s="35"/>
      <c r="T57" s="35"/>
      <c r="U57" s="35"/>
    </row>
    <row r="58" spans="1:21" ht="24.75" customHeight="1">
      <c r="A58" s="25">
        <v>56</v>
      </c>
      <c r="B58" s="26" t="s">
        <v>179</v>
      </c>
      <c r="C58" s="26"/>
      <c r="D58" s="26" t="s">
        <v>378</v>
      </c>
      <c r="E58" s="26" t="s">
        <v>379</v>
      </c>
      <c r="F58" s="26" t="s">
        <v>540</v>
      </c>
      <c r="G58" s="26" t="s">
        <v>541</v>
      </c>
      <c r="H58" s="60">
        <v>80404</v>
      </c>
      <c r="I58" s="54" t="s">
        <v>829</v>
      </c>
      <c r="J58" s="26" t="s">
        <v>47</v>
      </c>
      <c r="K58" s="37">
        <v>150000</v>
      </c>
      <c r="L58" s="60">
        <v>5000</v>
      </c>
      <c r="M58" s="26">
        <f>Table14[[#This Row],[میاشتنی کرایه]]/2</f>
        <v>2500</v>
      </c>
      <c r="N58" s="26"/>
      <c r="O58" s="103">
        <f>Table14[[#This Row],[پیشکي]]-Table14[[#This Row],[د ۵۰ ٪ کرایی درکه]]</f>
        <v>147500</v>
      </c>
      <c r="P58" s="35"/>
      <c r="Q58" s="35"/>
      <c r="R58" s="35"/>
      <c r="S58" s="35"/>
      <c r="T58" s="35"/>
      <c r="U58" s="35"/>
    </row>
    <row r="59" spans="1:21" ht="24.75" customHeight="1">
      <c r="A59" s="25">
        <v>57</v>
      </c>
      <c r="B59" s="26" t="s">
        <v>180</v>
      </c>
      <c r="C59" s="26"/>
      <c r="D59" s="26" t="s">
        <v>410</v>
      </c>
      <c r="E59" s="26" t="s">
        <v>411</v>
      </c>
      <c r="F59" s="26" t="s">
        <v>357</v>
      </c>
      <c r="G59" s="26" t="s">
        <v>569</v>
      </c>
      <c r="H59" s="60">
        <v>598686</v>
      </c>
      <c r="I59" s="54" t="s">
        <v>829</v>
      </c>
      <c r="J59" s="26" t="s">
        <v>47</v>
      </c>
      <c r="K59" s="37">
        <v>489000</v>
      </c>
      <c r="L59" s="26">
        <v>4000</v>
      </c>
      <c r="M59" s="26">
        <f>Table14[[#This Row],[میاشتنی کرایه]]/2</f>
        <v>2000</v>
      </c>
      <c r="N59" s="26"/>
      <c r="O59" s="103">
        <f>Table14[[#This Row],[پیشکي]]-Table14[[#This Row],[د ۵۰ ٪ کرایی درکه]]</f>
        <v>487000</v>
      </c>
      <c r="P59" s="35"/>
      <c r="Q59" s="35"/>
      <c r="R59" s="35"/>
      <c r="S59" s="35"/>
      <c r="T59" s="35"/>
      <c r="U59" s="35"/>
    </row>
    <row r="60" spans="1:21" ht="24.75" customHeight="1">
      <c r="A60" s="25">
        <v>58</v>
      </c>
      <c r="B60" s="26" t="s">
        <v>181</v>
      </c>
      <c r="C60" s="26"/>
      <c r="D60" s="26" t="s">
        <v>412</v>
      </c>
      <c r="E60" s="26" t="s">
        <v>413</v>
      </c>
      <c r="F60" s="26" t="s">
        <v>570</v>
      </c>
      <c r="G60" s="26" t="s">
        <v>571</v>
      </c>
      <c r="H60" s="60">
        <v>22657933</v>
      </c>
      <c r="I60" s="54" t="s">
        <v>829</v>
      </c>
      <c r="J60" s="26" t="s">
        <v>47</v>
      </c>
      <c r="K60" s="37">
        <v>450000</v>
      </c>
      <c r="L60" s="26">
        <v>4000</v>
      </c>
      <c r="M60" s="26">
        <f>Table14[[#This Row],[میاشتنی کرایه]]/2</f>
        <v>2000</v>
      </c>
      <c r="N60" s="26"/>
      <c r="O60" s="103">
        <f>Table14[[#This Row],[پیشکي]]-Table14[[#This Row],[د ۵۰ ٪ کرایی درکه]]</f>
        <v>448000</v>
      </c>
      <c r="P60" s="35"/>
      <c r="Q60" s="35"/>
      <c r="R60" s="35"/>
      <c r="S60" s="35"/>
      <c r="T60" s="35"/>
      <c r="U60" s="35"/>
    </row>
    <row r="61" spans="1:21" ht="24.75" customHeight="1">
      <c r="A61" s="25">
        <v>59</v>
      </c>
      <c r="B61" s="26" t="s">
        <v>182</v>
      </c>
      <c r="C61" s="26"/>
      <c r="D61" s="26" t="s">
        <v>414</v>
      </c>
      <c r="E61" s="26" t="s">
        <v>49</v>
      </c>
      <c r="F61" s="26" t="s">
        <v>572</v>
      </c>
      <c r="G61" s="26" t="s">
        <v>541</v>
      </c>
      <c r="H61" s="60">
        <v>48958</v>
      </c>
      <c r="I61" s="54" t="s">
        <v>829</v>
      </c>
      <c r="J61" s="26" t="s">
        <v>47</v>
      </c>
      <c r="K61" s="37">
        <v>400000</v>
      </c>
      <c r="L61" s="26">
        <v>4000</v>
      </c>
      <c r="M61" s="26">
        <f>Table14[[#This Row],[میاشتنی کرایه]]/2</f>
        <v>2000</v>
      </c>
      <c r="N61" s="26"/>
      <c r="O61" s="103">
        <f>Table14[[#This Row],[پیشکي]]-Table14[[#This Row],[د ۵۰ ٪ کرایی درکه]]</f>
        <v>398000</v>
      </c>
      <c r="P61" s="35"/>
      <c r="Q61" s="35"/>
      <c r="R61" s="35"/>
      <c r="S61" s="35"/>
      <c r="T61" s="35"/>
      <c r="U61" s="35"/>
    </row>
    <row r="62" spans="1:21" ht="24.75" customHeight="1">
      <c r="A62" s="25">
        <v>60</v>
      </c>
      <c r="B62" s="26" t="s">
        <v>183</v>
      </c>
      <c r="C62" s="26"/>
      <c r="D62" s="26" t="s">
        <v>415</v>
      </c>
      <c r="E62" s="26" t="s">
        <v>416</v>
      </c>
      <c r="F62" s="26" t="s">
        <v>573</v>
      </c>
      <c r="G62" s="26" t="s">
        <v>574</v>
      </c>
      <c r="H62" s="60">
        <v>58300</v>
      </c>
      <c r="I62" s="54" t="s">
        <v>829</v>
      </c>
      <c r="J62" s="26" t="s">
        <v>47</v>
      </c>
      <c r="K62" s="37">
        <v>99000</v>
      </c>
      <c r="L62" s="26">
        <v>4000</v>
      </c>
      <c r="M62" s="26">
        <f>Table14[[#This Row],[میاشتنی کرایه]]/2</f>
        <v>2000</v>
      </c>
      <c r="N62" s="26"/>
      <c r="O62" s="103">
        <f>Table14[[#This Row],[پیشکي]]-Table14[[#This Row],[د ۵۰ ٪ کرایی درکه]]</f>
        <v>97000</v>
      </c>
      <c r="P62" s="35"/>
      <c r="Q62" s="35"/>
      <c r="R62" s="35"/>
      <c r="S62" s="35"/>
      <c r="T62" s="35"/>
      <c r="U62" s="35"/>
    </row>
    <row r="63" spans="1:21" ht="24.75" customHeight="1">
      <c r="A63" s="25">
        <v>61</v>
      </c>
      <c r="B63" s="26" t="s">
        <v>184</v>
      </c>
      <c r="C63" s="26"/>
      <c r="D63" s="26" t="s">
        <v>461</v>
      </c>
      <c r="E63" s="26" t="s">
        <v>575</v>
      </c>
      <c r="F63" s="26" t="s">
        <v>576</v>
      </c>
      <c r="G63" s="26" t="s">
        <v>577</v>
      </c>
      <c r="H63" s="60">
        <v>34872092</v>
      </c>
      <c r="I63" s="54" t="s">
        <v>829</v>
      </c>
      <c r="J63" s="26" t="s">
        <v>47</v>
      </c>
      <c r="K63" s="37">
        <v>100000</v>
      </c>
      <c r="L63" s="26">
        <v>2500</v>
      </c>
      <c r="M63" s="26">
        <f>Table14[[#This Row],[میاشتنی کرایه]]/2</f>
        <v>1250</v>
      </c>
      <c r="N63" s="26"/>
      <c r="O63" s="103">
        <f>Table14[[#This Row],[پیشکي]]-Table14[[#This Row],[د ۵۰ ٪ کرایی درکه]]</f>
        <v>98750</v>
      </c>
      <c r="P63" s="35"/>
      <c r="Q63" s="35"/>
      <c r="R63" s="35"/>
      <c r="S63" s="35"/>
      <c r="T63" s="35"/>
      <c r="U63" s="35"/>
    </row>
    <row r="64" spans="1:21" ht="24.75" customHeight="1">
      <c r="A64" s="25">
        <v>62</v>
      </c>
      <c r="B64" s="26" t="s">
        <v>185</v>
      </c>
      <c r="C64" s="26"/>
      <c r="D64" s="26" t="s">
        <v>462</v>
      </c>
      <c r="E64" s="26" t="s">
        <v>463</v>
      </c>
      <c r="F64" s="26" t="s">
        <v>578</v>
      </c>
      <c r="G64" s="26" t="s">
        <v>579</v>
      </c>
      <c r="H64" s="60">
        <v>87090</v>
      </c>
      <c r="I64" s="54" t="s">
        <v>829</v>
      </c>
      <c r="J64" s="26" t="s">
        <v>47</v>
      </c>
      <c r="K64" s="37">
        <v>100000</v>
      </c>
      <c r="L64" s="26">
        <v>2000</v>
      </c>
      <c r="M64" s="26">
        <f>Table14[[#This Row],[میاشتنی کرایه]]/2</f>
        <v>1000</v>
      </c>
      <c r="N64" s="26"/>
      <c r="O64" s="103">
        <f>Table14[[#This Row],[پیشکي]]-Table14[[#This Row],[د ۵۰ ٪ کرایی درکه]]</f>
        <v>99000</v>
      </c>
      <c r="P64" s="35"/>
      <c r="Q64" s="35"/>
      <c r="R64" s="35"/>
      <c r="S64" s="35"/>
      <c r="T64" s="35"/>
      <c r="U64" s="35"/>
    </row>
    <row r="65" spans="1:21" ht="24.75" customHeight="1">
      <c r="A65" s="25">
        <v>63</v>
      </c>
      <c r="B65" s="26" t="s">
        <v>186</v>
      </c>
      <c r="C65" s="26"/>
      <c r="D65" s="26" t="s">
        <v>737</v>
      </c>
      <c r="E65" s="26" t="s">
        <v>464</v>
      </c>
      <c r="F65" s="26" t="s">
        <v>423</v>
      </c>
      <c r="G65" s="26" t="s">
        <v>523</v>
      </c>
      <c r="H65" s="60" t="s">
        <v>738</v>
      </c>
      <c r="I65" s="54" t="s">
        <v>829</v>
      </c>
      <c r="J65" s="26" t="s">
        <v>47</v>
      </c>
      <c r="K65" s="37">
        <v>218000</v>
      </c>
      <c r="L65" s="26">
        <v>2000</v>
      </c>
      <c r="M65" s="26">
        <f>Table14[[#This Row],[میاشتنی کرایه]]/2</f>
        <v>1000</v>
      </c>
      <c r="N65" s="26"/>
      <c r="O65" s="103">
        <f>Table14[[#This Row],[پیشکي]]-Table14[[#This Row],[د ۵۰ ٪ کرایی درکه]]</f>
        <v>217000</v>
      </c>
      <c r="P65" s="35"/>
      <c r="Q65" s="35"/>
      <c r="R65" s="35"/>
      <c r="S65" s="35"/>
      <c r="T65" s="35"/>
      <c r="U65" s="35"/>
    </row>
    <row r="66" spans="1:21" ht="24.75" customHeight="1">
      <c r="A66" s="25">
        <v>64</v>
      </c>
      <c r="B66" s="26" t="s">
        <v>187</v>
      </c>
      <c r="C66" s="26"/>
      <c r="D66" s="26" t="s">
        <v>737</v>
      </c>
      <c r="E66" s="26" t="s">
        <v>464</v>
      </c>
      <c r="F66" s="26" t="s">
        <v>423</v>
      </c>
      <c r="G66" s="26" t="s">
        <v>523</v>
      </c>
      <c r="H66" s="60" t="s">
        <v>738</v>
      </c>
      <c r="I66" s="54" t="s">
        <v>829</v>
      </c>
      <c r="J66" s="26"/>
      <c r="K66" s="37">
        <v>218000</v>
      </c>
      <c r="L66" s="26">
        <v>2000</v>
      </c>
      <c r="M66" s="26">
        <f>Table14[[#This Row],[میاشتنی کرایه]]/2</f>
        <v>1000</v>
      </c>
      <c r="N66" s="26"/>
      <c r="O66" s="103">
        <f>Table14[[#This Row],[پیشکي]]-Table14[[#This Row],[د ۵۰ ٪ کرایی درکه]]</f>
        <v>217000</v>
      </c>
      <c r="P66" s="35"/>
      <c r="Q66" s="35"/>
      <c r="R66" s="35"/>
      <c r="S66" s="35"/>
      <c r="T66" s="35"/>
      <c r="U66" s="35"/>
    </row>
    <row r="67" spans="1:21" ht="24.75" customHeight="1">
      <c r="A67" s="25">
        <v>65</v>
      </c>
      <c r="B67" s="26" t="s">
        <v>188</v>
      </c>
      <c r="C67" s="26"/>
      <c r="D67" s="26" t="s">
        <v>465</v>
      </c>
      <c r="E67" s="26" t="s">
        <v>466</v>
      </c>
      <c r="F67" s="26" t="s">
        <v>580</v>
      </c>
      <c r="G67" s="26" t="s">
        <v>541</v>
      </c>
      <c r="H67" s="60">
        <v>49266</v>
      </c>
      <c r="I67" s="54" t="s">
        <v>829</v>
      </c>
      <c r="J67" s="26" t="s">
        <v>47</v>
      </c>
      <c r="K67" s="37">
        <v>350000</v>
      </c>
      <c r="L67" s="26">
        <v>2000</v>
      </c>
      <c r="M67" s="26">
        <f>Table14[[#This Row],[میاشتنی کرایه]]/2</f>
        <v>1000</v>
      </c>
      <c r="N67" s="26"/>
      <c r="O67" s="103">
        <f>Table14[[#This Row],[پیشکي]]-Table14[[#This Row],[د ۵۰ ٪ کرایی درکه]]</f>
        <v>349000</v>
      </c>
      <c r="P67" s="35"/>
      <c r="Q67" s="35"/>
      <c r="R67" s="35"/>
      <c r="S67" s="35"/>
      <c r="T67" s="35"/>
      <c r="U67" s="35"/>
    </row>
    <row r="68" spans="1:21" ht="24.75" customHeight="1">
      <c r="A68" s="25">
        <v>66</v>
      </c>
      <c r="B68" s="26" t="s">
        <v>189</v>
      </c>
      <c r="C68" s="26"/>
      <c r="D68" s="26" t="s">
        <v>352</v>
      </c>
      <c r="E68" s="26" t="s">
        <v>467</v>
      </c>
      <c r="F68" s="26"/>
      <c r="G68" s="26"/>
      <c r="H68" s="60"/>
      <c r="I68" s="54" t="s">
        <v>829</v>
      </c>
      <c r="J68" s="26" t="s">
        <v>47</v>
      </c>
      <c r="K68" s="37">
        <v>350000</v>
      </c>
      <c r="L68" s="26">
        <v>2000</v>
      </c>
      <c r="M68" s="26">
        <f>Table14[[#This Row],[میاشتنی کرایه]]/2</f>
        <v>1000</v>
      </c>
      <c r="N68" s="26"/>
      <c r="O68" s="103">
        <f>Table14[[#This Row],[پیشکي]]-Table14[[#This Row],[د ۵۰ ٪ کرایی درکه]]</f>
        <v>349000</v>
      </c>
      <c r="P68" s="35"/>
      <c r="Q68" s="35"/>
      <c r="R68" s="35"/>
      <c r="S68" s="35"/>
      <c r="T68" s="35"/>
      <c r="U68" s="35"/>
    </row>
    <row r="69" spans="1:21" ht="24.75" customHeight="1">
      <c r="A69" s="25">
        <v>67</v>
      </c>
      <c r="B69" s="26" t="s">
        <v>190</v>
      </c>
      <c r="C69" s="26"/>
      <c r="D69" s="26" t="s">
        <v>468</v>
      </c>
      <c r="E69" s="26" t="s">
        <v>581</v>
      </c>
      <c r="F69" s="26" t="s">
        <v>582</v>
      </c>
      <c r="G69" s="26" t="s">
        <v>583</v>
      </c>
      <c r="H69" s="60"/>
      <c r="I69" s="54" t="s">
        <v>829</v>
      </c>
      <c r="J69" s="26" t="s">
        <v>47</v>
      </c>
      <c r="K69" s="37">
        <v>200000</v>
      </c>
      <c r="L69" s="26">
        <v>2000</v>
      </c>
      <c r="M69" s="26">
        <f>Table14[[#This Row],[میاشتنی کرایه]]/2</f>
        <v>1000</v>
      </c>
      <c r="N69" s="26"/>
      <c r="O69" s="103">
        <f>Table14[[#This Row],[پیشکي]]-Table14[[#This Row],[د ۵۰ ٪ کرایی درکه]]</f>
        <v>199000</v>
      </c>
      <c r="P69" s="35"/>
      <c r="Q69" s="35"/>
      <c r="R69" s="35"/>
      <c r="S69" s="35"/>
      <c r="T69" s="35"/>
      <c r="U69" s="35"/>
    </row>
    <row r="70" spans="1:21" ht="24.75" customHeight="1">
      <c r="A70" s="25">
        <v>68</v>
      </c>
      <c r="B70" s="26" t="s">
        <v>191</v>
      </c>
      <c r="C70" s="26"/>
      <c r="D70" s="26" t="s">
        <v>469</v>
      </c>
      <c r="E70" s="26" t="s">
        <v>470</v>
      </c>
      <c r="F70" s="26" t="s">
        <v>584</v>
      </c>
      <c r="G70" s="26" t="s">
        <v>541</v>
      </c>
      <c r="H70" s="60">
        <v>75264</v>
      </c>
      <c r="I70" s="54" t="s">
        <v>829</v>
      </c>
      <c r="J70" s="26" t="s">
        <v>47</v>
      </c>
      <c r="K70" s="37">
        <v>500000</v>
      </c>
      <c r="L70" s="26">
        <v>2000</v>
      </c>
      <c r="M70" s="26">
        <f>Table14[[#This Row],[میاشتنی کرایه]]/2</f>
        <v>1000</v>
      </c>
      <c r="N70" s="26"/>
      <c r="O70" s="103">
        <f>Table14[[#This Row],[پیشکي]]-Table14[[#This Row],[د ۵۰ ٪ کرایی درکه]]</f>
        <v>499000</v>
      </c>
      <c r="P70" s="35"/>
      <c r="Q70" s="35"/>
      <c r="R70" s="35"/>
      <c r="S70" s="35"/>
      <c r="T70" s="35"/>
      <c r="U70" s="35"/>
    </row>
    <row r="71" spans="1:21" ht="24.75" customHeight="1">
      <c r="A71" s="25">
        <v>69</v>
      </c>
      <c r="B71" s="26" t="s">
        <v>192</v>
      </c>
      <c r="C71" s="26"/>
      <c r="D71" s="26" t="s">
        <v>471</v>
      </c>
      <c r="E71" s="26" t="s">
        <v>472</v>
      </c>
      <c r="F71" s="26" t="s">
        <v>585</v>
      </c>
      <c r="G71" s="26" t="s">
        <v>541</v>
      </c>
      <c r="H71" s="60">
        <v>71378</v>
      </c>
      <c r="I71" s="54" t="s">
        <v>829</v>
      </c>
      <c r="J71" s="26" t="s">
        <v>47</v>
      </c>
      <c r="K71" s="37">
        <v>500000</v>
      </c>
      <c r="L71" s="26">
        <v>2000</v>
      </c>
      <c r="M71" s="26">
        <f>Table14[[#This Row],[میاشتنی کرایه]]/2</f>
        <v>1000</v>
      </c>
      <c r="N71" s="26"/>
      <c r="O71" s="103">
        <f>Table14[[#This Row],[پیشکي]]-Table14[[#This Row],[د ۵۰ ٪ کرایی درکه]]</f>
        <v>499000</v>
      </c>
      <c r="P71" s="35"/>
      <c r="Q71" s="35"/>
      <c r="R71" s="35"/>
      <c r="S71" s="35"/>
      <c r="T71" s="35"/>
      <c r="U71" s="35"/>
    </row>
    <row r="72" spans="1:21" ht="24.75" customHeight="1">
      <c r="A72" s="25">
        <v>70</v>
      </c>
      <c r="B72" s="26" t="s">
        <v>193</v>
      </c>
      <c r="C72" s="26"/>
      <c r="D72" s="26" t="s">
        <v>473</v>
      </c>
      <c r="E72" s="26" t="s">
        <v>474</v>
      </c>
      <c r="F72" s="26" t="s">
        <v>586</v>
      </c>
      <c r="G72" s="26" t="s">
        <v>587</v>
      </c>
      <c r="H72" s="60">
        <v>3356313</v>
      </c>
      <c r="I72" s="54" t="s">
        <v>829</v>
      </c>
      <c r="J72" s="26" t="s">
        <v>47</v>
      </c>
      <c r="K72" s="37">
        <v>82000</v>
      </c>
      <c r="L72" s="26">
        <v>2000</v>
      </c>
      <c r="M72" s="26">
        <f>Table14[[#This Row],[میاشتنی کرایه]]/2</f>
        <v>1000</v>
      </c>
      <c r="N72" s="26"/>
      <c r="O72" s="103">
        <f>Table14[[#This Row],[پیشکي]]-Table14[[#This Row],[د ۵۰ ٪ کرایی درکه]]</f>
        <v>81000</v>
      </c>
      <c r="P72" s="35"/>
      <c r="Q72" s="35"/>
      <c r="R72" s="35"/>
      <c r="S72" s="35"/>
      <c r="T72" s="35"/>
      <c r="U72" s="35"/>
    </row>
    <row r="73" spans="1:21" s="62" customFormat="1" ht="24.75" customHeight="1">
      <c r="A73" s="59">
        <v>71</v>
      </c>
      <c r="B73" s="60" t="s">
        <v>194</v>
      </c>
      <c r="C73" s="60"/>
      <c r="D73" s="60" t="s">
        <v>475</v>
      </c>
      <c r="E73" s="60" t="s">
        <v>476</v>
      </c>
      <c r="F73" s="60" t="s">
        <v>588</v>
      </c>
      <c r="G73" s="60" t="s">
        <v>583</v>
      </c>
      <c r="H73" s="60">
        <v>26878</v>
      </c>
      <c r="I73" s="54" t="s">
        <v>829</v>
      </c>
      <c r="J73" s="60" t="s">
        <v>47</v>
      </c>
      <c r="K73" s="61">
        <v>0</v>
      </c>
      <c r="L73" s="26">
        <v>2000</v>
      </c>
      <c r="M73" s="60">
        <f>Table14[[#This Row],[میاشتنی کرایه]]/2</f>
        <v>1000</v>
      </c>
      <c r="N73" s="60"/>
      <c r="O73" s="103">
        <f>Table14[[#This Row],[پیشکي]]-Table14[[#This Row],[د ۵۰ ٪ کرایی درکه]]</f>
        <v>-1000</v>
      </c>
      <c r="P73" s="35"/>
      <c r="Q73" s="35"/>
      <c r="R73" s="35"/>
      <c r="S73" s="35"/>
      <c r="T73" s="35"/>
      <c r="U73" s="35"/>
    </row>
    <row r="74" spans="1:21" s="62" customFormat="1" ht="24.75" customHeight="1">
      <c r="A74" s="59">
        <v>72</v>
      </c>
      <c r="B74" s="60" t="s">
        <v>195</v>
      </c>
      <c r="C74" s="60"/>
      <c r="D74" s="60" t="s">
        <v>475</v>
      </c>
      <c r="E74" s="60" t="s">
        <v>476</v>
      </c>
      <c r="F74" s="60" t="s">
        <v>588</v>
      </c>
      <c r="G74" s="60" t="s">
        <v>583</v>
      </c>
      <c r="H74" s="60">
        <v>26878</v>
      </c>
      <c r="I74" s="54" t="s">
        <v>829</v>
      </c>
      <c r="J74" s="60" t="s">
        <v>47</v>
      </c>
      <c r="K74" s="61">
        <v>400000</v>
      </c>
      <c r="L74" s="26">
        <v>2500</v>
      </c>
      <c r="M74" s="60">
        <f>Table14[[#This Row],[میاشتنی کرایه]]/2</f>
        <v>1250</v>
      </c>
      <c r="N74" s="94"/>
      <c r="O74" s="103">
        <f>Table14[[#This Row],[پیشکي]]-Table14[[#This Row],[د ۵۰ ٪ کرایی درکه]]</f>
        <v>398750</v>
      </c>
      <c r="P74" s="104"/>
      <c r="Q74" s="104"/>
      <c r="R74" s="104"/>
      <c r="S74" s="104"/>
      <c r="T74" s="104"/>
      <c r="U74" s="104"/>
    </row>
    <row r="75" spans="1:21" ht="24.75" customHeight="1">
      <c r="A75" s="113"/>
      <c r="B75" s="38"/>
      <c r="C75" s="38"/>
      <c r="D75" s="38"/>
      <c r="E75" s="38"/>
      <c r="F75" s="38"/>
      <c r="G75" s="38"/>
      <c r="H75" s="38"/>
      <c r="I75" s="38"/>
      <c r="J75" s="38"/>
      <c r="K75" s="45"/>
      <c r="L75" s="130">
        <f>SUBTOTAL(109,L3:L74)</f>
        <v>307000</v>
      </c>
      <c r="M75" s="131">
        <f>SUBTOTAL(109,M3:M74)</f>
        <v>141000</v>
      </c>
      <c r="N75" s="38"/>
      <c r="O75" s="104">
        <f>SUM(O42:O74)</f>
        <v>13880500</v>
      </c>
      <c r="P75" s="104"/>
      <c r="Q75" s="104"/>
      <c r="R75" s="104"/>
      <c r="S75" s="104"/>
      <c r="T75" s="104"/>
      <c r="U75" s="104"/>
    </row>
    <row r="76" spans="1:21" ht="24.75" customHeight="1"/>
    <row r="77" spans="1:21">
      <c r="L77" s="20">
        <f>L75-M75</f>
        <v>166000</v>
      </c>
    </row>
  </sheetData>
  <sheetProtection insertColumns="0" insertRows="0" deleteColumns="0" deleteRows="0"/>
  <mergeCells count="2">
    <mergeCell ref="C1:N1"/>
    <mergeCell ref="O1:U1"/>
  </mergeCells>
  <pageMargins left="0.3" right="0.27" top="0.49" bottom="0.46" header="0.3" footer="0.3"/>
  <pageSetup scale="71" orientation="landscape" horizontalDpi="360" verticalDpi="360" r:id="rId1"/>
  <rowBreaks count="1" manualBreakCount="1">
    <brk id="50" max="13" man="1"/>
  </row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14"/>
  <sheetViews>
    <sheetView rightToLeft="1" tabSelected="1" topLeftCell="A10" zoomScaleNormal="100" workbookViewId="0">
      <selection activeCell="G2" sqref="D1:G1048576"/>
    </sheetView>
  </sheetViews>
  <sheetFormatPr defaultRowHeight="18"/>
  <cols>
    <col min="1" max="1" width="4.83203125" style="20" bestFit="1" customWidth="1"/>
    <col min="2" max="2" width="6.08203125" style="20" customWidth="1"/>
    <col min="3" max="3" width="9.1640625" style="20" bestFit="1" customWidth="1"/>
    <col min="4" max="6" width="8.33203125" style="20" hidden="1" customWidth="1"/>
    <col min="7" max="7" width="11.08203125" style="20" hidden="1" customWidth="1"/>
    <col min="8" max="8" width="4.58203125" style="20" customWidth="1"/>
    <col min="9" max="9" width="6.08203125" style="20" customWidth="1"/>
    <col min="10" max="10" width="14" style="46" customWidth="1"/>
    <col min="11" max="11" width="11.33203125" style="20" customWidth="1"/>
    <col min="12" max="12" width="6.83203125" style="20" customWidth="1"/>
    <col min="13" max="13" width="9" style="20" customWidth="1"/>
    <col min="14" max="14" width="8.33203125" style="20" customWidth="1"/>
    <col min="15" max="15" width="10.83203125" style="20" customWidth="1"/>
  </cols>
  <sheetData>
    <row r="1" spans="1:15" ht="49.5" customHeight="1">
      <c r="A1" s="247" t="s">
        <v>696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</row>
    <row r="2" spans="1:15" s="48" customFormat="1" ht="51" customHeight="1">
      <c r="A2" s="47" t="s">
        <v>41</v>
      </c>
      <c r="B2" s="29" t="s">
        <v>38</v>
      </c>
      <c r="C2" s="29" t="s">
        <v>42</v>
      </c>
      <c r="D2" s="29" t="s">
        <v>268</v>
      </c>
      <c r="E2" s="29" t="s">
        <v>506</v>
      </c>
      <c r="F2" s="29" t="s">
        <v>666</v>
      </c>
      <c r="G2" s="29" t="s">
        <v>488</v>
      </c>
      <c r="H2" s="29" t="s">
        <v>46</v>
      </c>
      <c r="I2" s="29" t="s">
        <v>39</v>
      </c>
      <c r="J2" s="109" t="s">
        <v>347</v>
      </c>
      <c r="K2" s="30" t="s">
        <v>417</v>
      </c>
      <c r="L2" s="30" t="s">
        <v>50</v>
      </c>
      <c r="M2" s="30" t="s">
        <v>316</v>
      </c>
      <c r="N2" s="30" t="s">
        <v>45</v>
      </c>
      <c r="O2" s="105" t="s">
        <v>498</v>
      </c>
    </row>
    <row r="3" spans="1:15" ht="24" customHeight="1">
      <c r="A3" s="25">
        <v>1</v>
      </c>
      <c r="B3" s="31" t="s">
        <v>434</v>
      </c>
      <c r="C3" s="27" t="s">
        <v>418</v>
      </c>
      <c r="D3" s="26"/>
      <c r="E3" s="26"/>
      <c r="F3" s="26"/>
      <c r="G3" s="26"/>
      <c r="H3" s="54" t="s">
        <v>829</v>
      </c>
      <c r="I3" s="26" t="s">
        <v>419</v>
      </c>
      <c r="J3" s="37" t="s">
        <v>652</v>
      </c>
      <c r="K3" s="37">
        <v>1000</v>
      </c>
      <c r="L3">
        <v>0</v>
      </c>
      <c r="M3" s="40">
        <v>0</v>
      </c>
      <c r="N3" s="26">
        <v>772349861</v>
      </c>
      <c r="O3" s="28" t="e">
        <f>Table16[[#This Row],[پیشکي]]-Table16[[#This Row],[د ۵۰ ٪ کرایی درکه]]</f>
        <v>#VALUE!</v>
      </c>
    </row>
    <row r="4" spans="1:15" ht="24" customHeight="1">
      <c r="A4" s="25">
        <v>2</v>
      </c>
      <c r="B4" s="31" t="s">
        <v>435</v>
      </c>
      <c r="C4" s="26" t="s">
        <v>420</v>
      </c>
      <c r="D4" s="26"/>
      <c r="E4" s="26"/>
      <c r="F4" s="26"/>
      <c r="G4" s="26"/>
      <c r="H4" s="54" t="s">
        <v>829</v>
      </c>
      <c r="I4" s="26" t="s">
        <v>419</v>
      </c>
      <c r="J4" s="37">
        <v>40000</v>
      </c>
      <c r="K4" s="37">
        <v>1000</v>
      </c>
      <c r="L4">
        <f>Table16[[#This Row],[میاشتنی کرایه]]/2</f>
        <v>500</v>
      </c>
      <c r="M4" s="26"/>
      <c r="N4" s="26"/>
      <c r="O4" s="26">
        <f>Table16[[#This Row],[پیشکي]]-Table16[[#This Row],[د ۵۰ ٪ کرایی درکه]]</f>
        <v>39500</v>
      </c>
    </row>
    <row r="5" spans="1:15" ht="24" customHeight="1">
      <c r="A5" s="25">
        <v>3</v>
      </c>
      <c r="B5" s="31" t="s">
        <v>436</v>
      </c>
      <c r="C5" s="26" t="s">
        <v>421</v>
      </c>
      <c r="D5" s="26" t="s">
        <v>422</v>
      </c>
      <c r="E5" s="26" t="s">
        <v>667</v>
      </c>
      <c r="F5" s="26" t="s">
        <v>547</v>
      </c>
      <c r="G5">
        <v>28526</v>
      </c>
      <c r="H5" s="54" t="s">
        <v>829</v>
      </c>
      <c r="I5" s="26" t="s">
        <v>419</v>
      </c>
      <c r="J5" s="37" t="s">
        <v>652</v>
      </c>
      <c r="K5" s="37">
        <v>1000</v>
      </c>
      <c r="L5">
        <v>0</v>
      </c>
      <c r="M5" s="26"/>
      <c r="N5" s="26"/>
      <c r="O5" s="26" t="e">
        <f>Table16[[#This Row],[پیشکي]]-Table16[[#This Row],[د ۵۰ ٪ کرایی درکه]]</f>
        <v>#VALUE!</v>
      </c>
    </row>
    <row r="6" spans="1:15" s="194" customFormat="1" ht="24" customHeight="1">
      <c r="A6" s="191">
        <v>4</v>
      </c>
      <c r="B6" s="192" t="s">
        <v>437</v>
      </c>
      <c r="C6" s="193" t="s">
        <v>734</v>
      </c>
      <c r="D6" s="193"/>
      <c r="E6" s="193"/>
      <c r="F6" s="193" t="s">
        <v>541</v>
      </c>
      <c r="H6" s="54" t="s">
        <v>829</v>
      </c>
      <c r="I6" s="193" t="s">
        <v>419</v>
      </c>
      <c r="J6" s="195">
        <v>86500</v>
      </c>
      <c r="K6" s="195">
        <v>1000</v>
      </c>
      <c r="L6" s="194">
        <f>Table16[[#This Row],[میاشتنی کرایه]]/2</f>
        <v>500</v>
      </c>
      <c r="M6" s="193"/>
      <c r="N6" s="193"/>
      <c r="O6" s="193">
        <f>Table16[[#This Row],[پیشکي]]-Table16[[#This Row],[د ۵۰ ٪ کرایی درکه]]</f>
        <v>86000</v>
      </c>
    </row>
    <row r="7" spans="1:15" ht="24" customHeight="1">
      <c r="A7" s="25">
        <v>5</v>
      </c>
      <c r="B7" s="31" t="s">
        <v>438</v>
      </c>
      <c r="C7" s="26" t="s">
        <v>424</v>
      </c>
      <c r="D7" s="26" t="s">
        <v>336</v>
      </c>
      <c r="E7" s="26" t="s">
        <v>668</v>
      </c>
      <c r="F7" s="26" t="s">
        <v>523</v>
      </c>
      <c r="G7">
        <v>36114679</v>
      </c>
      <c r="H7" s="54" t="s">
        <v>829</v>
      </c>
      <c r="I7" s="26" t="s">
        <v>419</v>
      </c>
      <c r="J7" s="37" t="s">
        <v>652</v>
      </c>
      <c r="K7" s="37">
        <v>1000</v>
      </c>
      <c r="L7">
        <v>0</v>
      </c>
      <c r="M7" s="26"/>
      <c r="N7" s="26"/>
      <c r="O7" s="26" t="e">
        <f>Table16[[#This Row],[پیشکي]]-Table16[[#This Row],[د ۵۰ ٪ کرایی درکه]]</f>
        <v>#VALUE!</v>
      </c>
    </row>
    <row r="8" spans="1:15" ht="24" customHeight="1">
      <c r="A8" s="25">
        <v>6</v>
      </c>
      <c r="B8" s="31" t="s">
        <v>439</v>
      </c>
      <c r="C8" s="26" t="s">
        <v>334</v>
      </c>
      <c r="D8" s="26" t="s">
        <v>425</v>
      </c>
      <c r="E8" s="26" t="s">
        <v>669</v>
      </c>
      <c r="F8" s="26" t="s">
        <v>670</v>
      </c>
      <c r="G8">
        <v>6234</v>
      </c>
      <c r="H8" s="54" t="s">
        <v>829</v>
      </c>
      <c r="I8" s="26" t="s">
        <v>419</v>
      </c>
      <c r="J8" s="37">
        <v>50000</v>
      </c>
      <c r="K8" s="37">
        <v>1000</v>
      </c>
      <c r="L8">
        <f>Table16[[#This Row],[میاشتنی کرایه]]/2</f>
        <v>500</v>
      </c>
      <c r="M8" s="26"/>
      <c r="N8" s="26"/>
      <c r="O8" s="26">
        <f>Table16[[#This Row],[پیشکي]]-Table16[[#This Row],[د ۵۰ ٪ کرایی درکه]]</f>
        <v>49500</v>
      </c>
    </row>
    <row r="9" spans="1:15" ht="24" customHeight="1">
      <c r="A9" s="25">
        <v>7</v>
      </c>
      <c r="B9" s="31" t="s">
        <v>440</v>
      </c>
      <c r="C9" s="26" t="s">
        <v>671</v>
      </c>
      <c r="D9" s="26" t="s">
        <v>672</v>
      </c>
      <c r="E9" s="26" t="s">
        <v>673</v>
      </c>
      <c r="F9" s="26" t="s">
        <v>674</v>
      </c>
      <c r="G9">
        <v>929640</v>
      </c>
      <c r="H9" s="54" t="s">
        <v>829</v>
      </c>
      <c r="I9" s="26" t="s">
        <v>419</v>
      </c>
      <c r="J9" s="37">
        <v>50000</v>
      </c>
      <c r="K9" s="37">
        <v>1000</v>
      </c>
      <c r="L9">
        <f>Table16[[#This Row],[میاشتنی کرایه]]/2</f>
        <v>500</v>
      </c>
      <c r="M9" s="26"/>
      <c r="N9" s="26"/>
      <c r="O9" s="26">
        <f>Table16[[#This Row],[پیشکي]]-Table16[[#This Row],[د ۵۰ ٪ کرایی درکه]]</f>
        <v>49500</v>
      </c>
    </row>
    <row r="10" spans="1:15" ht="24" customHeight="1">
      <c r="A10" s="25">
        <v>8</v>
      </c>
      <c r="B10" s="31" t="s">
        <v>441</v>
      </c>
      <c r="C10" s="26" t="s">
        <v>427</v>
      </c>
      <c r="D10" s="35" t="s">
        <v>428</v>
      </c>
      <c r="E10" s="35" t="s">
        <v>675</v>
      </c>
      <c r="F10" s="35" t="s">
        <v>527</v>
      </c>
      <c r="G10">
        <v>630161</v>
      </c>
      <c r="H10" s="54" t="s">
        <v>829</v>
      </c>
      <c r="I10" s="26" t="s">
        <v>419</v>
      </c>
      <c r="J10" s="37" t="s">
        <v>652</v>
      </c>
      <c r="K10" s="37">
        <v>1000</v>
      </c>
      <c r="L10">
        <v>0</v>
      </c>
      <c r="M10" s="26"/>
      <c r="N10" s="26"/>
      <c r="O10" s="26" t="e">
        <f>Table16[[#This Row],[پیشکي]]-Table16[[#This Row],[د ۵۰ ٪ کرایی درکه]]</f>
        <v>#VALUE!</v>
      </c>
    </row>
    <row r="11" spans="1:15" ht="24" customHeight="1">
      <c r="A11" s="25">
        <v>9</v>
      </c>
      <c r="B11" s="31" t="s">
        <v>442</v>
      </c>
      <c r="C11" s="26" t="s">
        <v>429</v>
      </c>
      <c r="D11" s="26" t="s">
        <v>331</v>
      </c>
      <c r="E11" s="26" t="s">
        <v>676</v>
      </c>
      <c r="F11" s="26" t="s">
        <v>541</v>
      </c>
      <c r="G11">
        <v>72914</v>
      </c>
      <c r="H11" s="54" t="s">
        <v>829</v>
      </c>
      <c r="I11" s="26" t="s">
        <v>419</v>
      </c>
      <c r="J11" s="37">
        <v>100000</v>
      </c>
      <c r="K11" s="37">
        <v>1000</v>
      </c>
      <c r="L11">
        <f>Table16[[#This Row],[میاشتنی کرایه]]/2</f>
        <v>500</v>
      </c>
      <c r="M11" s="26"/>
      <c r="N11" s="26"/>
      <c r="O11" s="26">
        <f>Table16[[#This Row],[پیشکي]]-Table16[[#This Row],[د ۵۰ ٪ کرایی درکه]]</f>
        <v>99500</v>
      </c>
    </row>
    <row r="12" spans="1:15" ht="24" customHeight="1">
      <c r="A12" s="25">
        <v>10</v>
      </c>
      <c r="B12" s="31" t="s">
        <v>443</v>
      </c>
      <c r="C12" s="26" t="s">
        <v>430</v>
      </c>
      <c r="D12" s="26" t="s">
        <v>431</v>
      </c>
      <c r="E12" s="26" t="s">
        <v>677</v>
      </c>
      <c r="F12" s="26" t="s">
        <v>678</v>
      </c>
      <c r="G12">
        <v>2903462</v>
      </c>
      <c r="H12" s="54" t="s">
        <v>829</v>
      </c>
      <c r="I12" s="26" t="s">
        <v>419</v>
      </c>
      <c r="J12" s="37">
        <v>50000</v>
      </c>
      <c r="K12" s="37">
        <v>1000</v>
      </c>
      <c r="L12">
        <f>Table16[[#This Row],[میاشتنی کرایه]]/2</f>
        <v>500</v>
      </c>
      <c r="M12" s="26"/>
      <c r="N12" s="26"/>
      <c r="O12" s="26">
        <f>Table16[[#This Row],[پیشکي]]-Table16[[#This Row],[د ۵۰ ٪ کرایی درکه]]</f>
        <v>49500</v>
      </c>
    </row>
    <row r="13" spans="1:15" ht="24" customHeight="1">
      <c r="A13" s="25">
        <v>11</v>
      </c>
      <c r="B13" s="31" t="s">
        <v>444</v>
      </c>
      <c r="C13" s="26" t="s">
        <v>432</v>
      </c>
      <c r="D13" s="26" t="s">
        <v>433</v>
      </c>
      <c r="E13" s="26" t="s">
        <v>679</v>
      </c>
      <c r="F13" s="26" t="s">
        <v>541</v>
      </c>
      <c r="G13">
        <v>74476</v>
      </c>
      <c r="H13" s="54" t="s">
        <v>829</v>
      </c>
      <c r="I13" s="26" t="s">
        <v>419</v>
      </c>
      <c r="J13" s="37">
        <v>50000</v>
      </c>
      <c r="K13" s="37">
        <v>1000</v>
      </c>
      <c r="L13">
        <f>Table16[[#This Row],[میاشتنی کرایه]]/2</f>
        <v>500</v>
      </c>
      <c r="M13" s="26"/>
      <c r="N13" s="26"/>
      <c r="O13" s="26">
        <f>Table16[[#This Row],[پیشکي]]-Table16[[#This Row],[د ۵۰ ٪ کرایی درکه]]</f>
        <v>49500</v>
      </c>
    </row>
    <row r="14" spans="1:15" ht="24" customHeight="1">
      <c r="A14" s="25">
        <v>12</v>
      </c>
      <c r="B14" s="31" t="s">
        <v>445</v>
      </c>
      <c r="C14" s="26" t="s">
        <v>426</v>
      </c>
      <c r="D14" s="26" t="s">
        <v>680</v>
      </c>
      <c r="E14" s="26" t="s">
        <v>663</v>
      </c>
      <c r="F14" s="26" t="s">
        <v>681</v>
      </c>
      <c r="G14">
        <v>22655408</v>
      </c>
      <c r="H14" s="54" t="s">
        <v>829</v>
      </c>
      <c r="I14" s="26" t="s">
        <v>419</v>
      </c>
      <c r="J14" s="37">
        <v>50000</v>
      </c>
      <c r="K14" s="37">
        <v>1000</v>
      </c>
      <c r="L14">
        <f>Table16[[#This Row],[میاشتنی کرایه]]/2</f>
        <v>500</v>
      </c>
      <c r="M14" s="26"/>
      <c r="N14" s="26"/>
      <c r="O14" s="26">
        <f>Table16[[#This Row],[پیشکي]]-Table16[[#This Row],[د ۵۰ ٪ کرایی درکه]]</f>
        <v>49500</v>
      </c>
    </row>
    <row r="15" spans="1:15" ht="24" customHeight="1">
      <c r="A15" s="25"/>
      <c r="B15" s="31"/>
      <c r="C15" s="26"/>
      <c r="D15" s="26"/>
      <c r="E15" s="26"/>
      <c r="F15" s="26"/>
      <c r="G15" s="26"/>
      <c r="H15" s="26"/>
      <c r="I15" s="26"/>
      <c r="J15" s="37"/>
      <c r="K15" s="129">
        <f>SUBTOTAL(109,K3:K14)</f>
        <v>12000</v>
      </c>
      <c r="L15" s="132">
        <f>SUBTOTAL(109,L3:L14)</f>
        <v>4000</v>
      </c>
      <c r="M15" s="26"/>
      <c r="N15" s="26"/>
      <c r="O15" s="26"/>
    </row>
    <row r="16" spans="1:15" ht="24" customHeight="1">
      <c r="A16" s="25"/>
      <c r="B16" s="31"/>
      <c r="C16" s="26"/>
      <c r="D16" s="26"/>
      <c r="E16" s="26"/>
      <c r="F16" s="26"/>
      <c r="G16" s="26"/>
      <c r="H16" s="26"/>
      <c r="I16" s="26"/>
      <c r="J16" s="37"/>
      <c r="K16" s="26"/>
      <c r="L16" s="107"/>
      <c r="M16" s="26"/>
      <c r="N16" s="26"/>
      <c r="O16" s="26">
        <f>Table16[[#This Row],[پیشکي]]-Table16[[#This Row],[د ۵۰ ٪ کرایی درکه]]</f>
        <v>0</v>
      </c>
    </row>
    <row r="17" spans="1:15" ht="24" customHeight="1">
      <c r="A17" s="25"/>
      <c r="B17" s="31"/>
      <c r="C17" s="26"/>
      <c r="D17" s="26"/>
      <c r="E17" s="26"/>
      <c r="F17" s="26"/>
      <c r="G17" s="26"/>
      <c r="H17" s="26"/>
      <c r="I17" s="26"/>
      <c r="J17" s="37"/>
      <c r="K17" s="107">
        <f>K15-L15</f>
        <v>8000</v>
      </c>
      <c r="L17" s="107"/>
      <c r="M17" s="26"/>
      <c r="N17" s="26"/>
      <c r="O17" s="26">
        <f>Table16[[#This Row],[پیشکي]]-Table16[[#This Row],[د ۵۰ ٪ کرایی درکه]]</f>
        <v>0</v>
      </c>
    </row>
    <row r="18" spans="1:15">
      <c r="A18" s="25"/>
      <c r="B18" s="31"/>
      <c r="C18" s="26"/>
      <c r="D18" s="26"/>
      <c r="E18" s="26"/>
      <c r="F18" s="26"/>
      <c r="G18" s="26"/>
      <c r="H18" s="26"/>
      <c r="I18" s="26"/>
      <c r="J18" s="37"/>
      <c r="K18" s="26"/>
      <c r="L18" s="107"/>
      <c r="M18" s="26"/>
      <c r="N18" s="26"/>
      <c r="O18" s="26">
        <f>Table16[[#This Row],[پیشکي]]-Table16[[#This Row],[د ۵۰ ٪ کرایی درکه]]</f>
        <v>0</v>
      </c>
    </row>
    <row r="19" spans="1:15">
      <c r="A19" s="25"/>
      <c r="B19" s="31"/>
      <c r="C19" s="26"/>
      <c r="D19" s="26"/>
      <c r="E19" s="26"/>
      <c r="F19" s="26"/>
      <c r="G19" s="26"/>
      <c r="H19" s="26"/>
      <c r="I19" s="26"/>
      <c r="J19" s="37"/>
      <c r="K19" s="26"/>
      <c r="L19" s="107"/>
      <c r="M19" s="26"/>
      <c r="N19" s="26"/>
      <c r="O19" s="26">
        <f>Table16[[#This Row],[پیشکي]]-Table16[[#This Row],[د ۵۰ ٪ کرایی درکه]]</f>
        <v>0</v>
      </c>
    </row>
    <row r="20" spans="1:15">
      <c r="A20" s="25"/>
      <c r="B20" s="31"/>
      <c r="C20" s="26"/>
      <c r="D20" s="26"/>
      <c r="E20" s="26"/>
      <c r="F20" s="26"/>
      <c r="G20" s="26"/>
      <c r="H20" s="26"/>
      <c r="I20" s="26"/>
      <c r="J20" s="37"/>
      <c r="K20" s="26"/>
      <c r="L20" s="107"/>
      <c r="M20" s="26"/>
      <c r="N20" s="26"/>
      <c r="O20" s="28">
        <f>Table16[[#This Row],[پیشکي]]-Table16[[#This Row],[د ۵۰ ٪ کرایی درکه]]</f>
        <v>0</v>
      </c>
    </row>
    <row r="21" spans="1:15">
      <c r="A21" s="25"/>
      <c r="B21" s="31"/>
      <c r="C21" s="26"/>
      <c r="D21" s="26"/>
      <c r="E21" s="26"/>
      <c r="F21" s="26"/>
      <c r="G21" s="26"/>
      <c r="H21" s="26"/>
      <c r="I21" s="26"/>
      <c r="J21" s="37"/>
      <c r="K21" s="26"/>
      <c r="L21" s="107"/>
      <c r="M21" s="26"/>
      <c r="N21" s="26"/>
      <c r="O21" s="28">
        <f>Table16[[#This Row],[پیشکي]]-Table16[[#This Row],[د ۵۰ ٪ کرایی درکه]]</f>
        <v>0</v>
      </c>
    </row>
    <row r="22" spans="1:15">
      <c r="A22" s="25"/>
      <c r="B22" s="31"/>
      <c r="C22" s="26"/>
      <c r="D22" s="26"/>
      <c r="E22" s="26"/>
      <c r="F22" s="26"/>
      <c r="G22" s="26"/>
      <c r="H22" s="26"/>
      <c r="I22" s="26"/>
      <c r="J22" s="37"/>
      <c r="K22" s="26"/>
      <c r="L22" s="107"/>
      <c r="M22" s="26"/>
      <c r="N22" s="26"/>
      <c r="O22" s="28">
        <f>Table16[[#This Row],[پیشکي]]-Table16[[#This Row],[د ۵۰ ٪ کرایی درکه]]</f>
        <v>0</v>
      </c>
    </row>
    <row r="23" spans="1:15">
      <c r="A23" s="25"/>
      <c r="B23" s="31"/>
      <c r="C23" s="26"/>
      <c r="D23" s="26"/>
      <c r="E23" s="26"/>
      <c r="F23" s="26"/>
      <c r="G23" s="26"/>
      <c r="H23" s="26"/>
      <c r="I23" s="26"/>
      <c r="J23" s="37"/>
      <c r="K23" s="26"/>
      <c r="L23" s="107"/>
      <c r="M23" s="26"/>
      <c r="N23" s="26"/>
      <c r="O23" s="28">
        <f>Table16[[#This Row],[پیشکي]]-Table16[[#This Row],[د ۵۰ ٪ کرایی درکه]]</f>
        <v>0</v>
      </c>
    </row>
    <row r="24" spans="1:15">
      <c r="A24" s="25"/>
      <c r="B24" s="31"/>
      <c r="C24" s="26"/>
      <c r="D24" s="26"/>
      <c r="E24" s="26"/>
      <c r="F24" s="26"/>
      <c r="G24" s="26"/>
      <c r="H24" s="26"/>
      <c r="I24" s="26"/>
      <c r="J24" s="37"/>
      <c r="K24" s="26"/>
      <c r="L24" s="107"/>
      <c r="M24" s="26"/>
      <c r="N24" s="26"/>
      <c r="O24" s="28">
        <f>Table16[[#This Row],[پیشکي]]-Table16[[#This Row],[د ۵۰ ٪ کرایی درکه]]</f>
        <v>0</v>
      </c>
    </row>
    <row r="25" spans="1:15">
      <c r="A25" s="25"/>
      <c r="B25" s="31"/>
      <c r="C25" s="26"/>
      <c r="D25" s="26"/>
      <c r="E25" s="26"/>
      <c r="F25" s="26"/>
      <c r="G25" s="26"/>
      <c r="H25" s="26"/>
      <c r="I25" s="26"/>
      <c r="J25" s="37"/>
      <c r="K25" s="26"/>
      <c r="L25" s="107"/>
      <c r="M25" s="26"/>
      <c r="N25" s="26"/>
      <c r="O25" s="28">
        <f>Table16[[#This Row],[پیشکي]]-Table16[[#This Row],[د ۵۰ ٪ کرایی درکه]]</f>
        <v>0</v>
      </c>
    </row>
    <row r="26" spans="1:15">
      <c r="A26" s="25"/>
      <c r="B26" s="31"/>
      <c r="C26" s="26"/>
      <c r="D26" s="26"/>
      <c r="E26" s="26"/>
      <c r="F26" s="26"/>
      <c r="G26" s="26"/>
      <c r="H26" s="26"/>
      <c r="I26" s="26"/>
      <c r="J26" s="37"/>
      <c r="K26" s="26"/>
      <c r="L26" s="107"/>
      <c r="M26" s="26"/>
      <c r="N26" s="26"/>
      <c r="O26" s="28">
        <f>Table16[[#This Row],[پیشکي]]-Table16[[#This Row],[د ۵۰ ٪ کرایی درکه]]</f>
        <v>0</v>
      </c>
    </row>
    <row r="27" spans="1:15">
      <c r="A27" s="25"/>
      <c r="B27" s="31"/>
      <c r="C27" s="26"/>
      <c r="D27" s="26"/>
      <c r="E27" s="26"/>
      <c r="F27" s="26"/>
      <c r="G27" s="26"/>
      <c r="H27" s="26"/>
      <c r="I27" s="26"/>
      <c r="J27" s="37"/>
      <c r="K27" s="26"/>
      <c r="L27" s="107"/>
      <c r="M27" s="26"/>
      <c r="N27" s="26"/>
      <c r="O27" s="28">
        <f>Table16[[#This Row],[پیشکي]]-Table16[[#This Row],[د ۵۰ ٪ کرایی درکه]]</f>
        <v>0</v>
      </c>
    </row>
    <row r="28" spans="1:15">
      <c r="A28" s="25"/>
      <c r="B28" s="31"/>
      <c r="C28" s="26"/>
      <c r="D28" s="26"/>
      <c r="E28" s="26"/>
      <c r="F28" s="26"/>
      <c r="G28" s="26"/>
      <c r="H28" s="26"/>
      <c r="I28" s="26"/>
      <c r="J28" s="37"/>
      <c r="K28" s="26"/>
      <c r="L28" s="107"/>
      <c r="M28" s="26"/>
      <c r="N28" s="26"/>
      <c r="O28" s="28">
        <f>Table16[[#This Row],[پیشکي]]-Table16[[#This Row],[د ۵۰ ٪ کرایی درکه]]</f>
        <v>0</v>
      </c>
    </row>
    <row r="29" spans="1:15">
      <c r="A29" s="25"/>
      <c r="B29" s="31"/>
      <c r="C29" s="26"/>
      <c r="D29" s="26"/>
      <c r="E29" s="26"/>
      <c r="F29" s="26"/>
      <c r="G29" s="26"/>
      <c r="H29" s="26"/>
      <c r="I29" s="26"/>
      <c r="J29" s="37"/>
      <c r="K29" s="26"/>
      <c r="L29" s="107"/>
      <c r="M29" s="26"/>
      <c r="N29" s="26"/>
      <c r="O29" s="28">
        <f>Table16[[#This Row],[پیشکي]]-Table16[[#This Row],[د ۵۰ ٪ کرایی درکه]]</f>
        <v>0</v>
      </c>
    </row>
    <row r="30" spans="1:15">
      <c r="A30" s="25"/>
      <c r="B30" s="31"/>
      <c r="C30" s="26"/>
      <c r="D30" s="26"/>
      <c r="E30" s="26"/>
      <c r="F30" s="26"/>
      <c r="G30" s="26"/>
      <c r="H30" s="26"/>
      <c r="I30" s="26"/>
      <c r="J30" s="37"/>
      <c r="K30" s="26"/>
      <c r="L30" s="107"/>
      <c r="M30" s="26"/>
      <c r="N30" s="26"/>
      <c r="O30" s="28">
        <f>Table16[[#This Row],[پیشکي]]-Table16[[#This Row],[د ۵۰ ٪ کرایی درکه]]</f>
        <v>0</v>
      </c>
    </row>
    <row r="31" spans="1:15">
      <c r="A31" s="25"/>
      <c r="B31" s="31"/>
      <c r="C31" s="26"/>
      <c r="D31" s="26"/>
      <c r="E31" s="26"/>
      <c r="F31" s="26"/>
      <c r="G31" s="26"/>
      <c r="H31" s="26"/>
      <c r="I31" s="26"/>
      <c r="J31" s="37"/>
      <c r="K31" s="26"/>
      <c r="L31" s="107"/>
      <c r="M31" s="26"/>
      <c r="N31" s="26"/>
      <c r="O31" s="28">
        <f>Table16[[#This Row],[پیشکي]]-Table16[[#This Row],[د ۵۰ ٪ کرایی درکه]]</f>
        <v>0</v>
      </c>
    </row>
    <row r="32" spans="1:15">
      <c r="A32" s="25"/>
      <c r="B32" s="31"/>
      <c r="C32" s="26"/>
      <c r="D32" s="26"/>
      <c r="E32" s="26"/>
      <c r="F32" s="26"/>
      <c r="G32" s="26"/>
      <c r="H32" s="26"/>
      <c r="I32" s="26"/>
      <c r="J32" s="37"/>
      <c r="K32" s="26"/>
      <c r="L32" s="107"/>
      <c r="M32" s="26"/>
      <c r="N32" s="26"/>
      <c r="O32" s="28">
        <f>Table16[[#This Row],[پیشکي]]-Table16[[#This Row],[د ۵۰ ٪ کرایی درکه]]</f>
        <v>0</v>
      </c>
    </row>
    <row r="33" spans="1:15">
      <c r="A33" s="25"/>
      <c r="B33" s="31"/>
      <c r="C33" s="26"/>
      <c r="D33" s="26"/>
      <c r="E33" s="26"/>
      <c r="F33" s="26"/>
      <c r="G33" s="26"/>
      <c r="H33" s="26"/>
      <c r="I33" s="26"/>
      <c r="J33" s="37"/>
      <c r="K33" s="26"/>
      <c r="L33" s="107"/>
      <c r="M33" s="26"/>
      <c r="N33" s="26"/>
      <c r="O33" s="28">
        <f>Table16[[#This Row],[پیشکي]]-Table16[[#This Row],[د ۵۰ ٪ کرایی درکه]]</f>
        <v>0</v>
      </c>
    </row>
    <row r="34" spans="1:15">
      <c r="A34" s="25"/>
      <c r="B34" s="31"/>
      <c r="C34" s="26"/>
      <c r="D34" s="26"/>
      <c r="E34" s="26"/>
      <c r="F34" s="26"/>
      <c r="G34" s="26"/>
      <c r="H34" s="26"/>
      <c r="I34" s="26"/>
      <c r="J34" s="37"/>
      <c r="K34" s="26"/>
      <c r="L34" s="107"/>
      <c r="M34" s="26"/>
      <c r="N34" s="26"/>
      <c r="O34" s="28">
        <f>Table16[[#This Row],[پیشکي]]-Table16[[#This Row],[د ۵۰ ٪ کرایی درکه]]</f>
        <v>0</v>
      </c>
    </row>
    <row r="35" spans="1:15">
      <c r="A35" s="25"/>
      <c r="B35" s="31"/>
      <c r="C35" s="26"/>
      <c r="D35" s="26"/>
      <c r="E35" s="26"/>
      <c r="F35" s="26"/>
      <c r="G35" s="26"/>
      <c r="H35" s="26"/>
      <c r="I35" s="26"/>
      <c r="J35" s="37"/>
      <c r="K35" s="26"/>
      <c r="L35" s="107"/>
      <c r="M35" s="26"/>
      <c r="N35" s="26"/>
      <c r="O35" s="28">
        <f>Table16[[#This Row],[پیشکي]]-Table16[[#This Row],[د ۵۰ ٪ کرایی درکه]]</f>
        <v>0</v>
      </c>
    </row>
    <row r="36" spans="1:15">
      <c r="A36" s="25"/>
      <c r="B36" s="31"/>
      <c r="C36" s="26"/>
      <c r="D36" s="26"/>
      <c r="E36" s="26"/>
      <c r="F36" s="26"/>
      <c r="G36" s="26"/>
      <c r="H36" s="26"/>
      <c r="I36" s="26"/>
      <c r="J36" s="37"/>
      <c r="K36" s="26"/>
      <c r="L36" s="107"/>
      <c r="M36" s="26"/>
      <c r="N36" s="26"/>
      <c r="O36" s="28">
        <f>Table16[[#This Row],[پیشکي]]-Table16[[#This Row],[د ۵۰ ٪ کرایی درکه]]</f>
        <v>0</v>
      </c>
    </row>
    <row r="37" spans="1:15">
      <c r="A37" s="25"/>
      <c r="B37" s="31"/>
      <c r="C37" s="26"/>
      <c r="D37" s="26"/>
      <c r="E37" s="26"/>
      <c r="F37" s="26"/>
      <c r="G37" s="26"/>
      <c r="H37" s="26"/>
      <c r="I37" s="26"/>
      <c r="J37" s="37"/>
      <c r="K37" s="26"/>
      <c r="L37" s="107"/>
      <c r="M37" s="26"/>
      <c r="N37" s="26"/>
      <c r="O37" s="28">
        <f>Table16[[#This Row],[پیشکي]]-Table16[[#This Row],[د ۵۰ ٪ کرایی درکه]]</f>
        <v>0</v>
      </c>
    </row>
    <row r="38" spans="1:15">
      <c r="A38" s="25"/>
      <c r="B38" s="31"/>
      <c r="C38" s="26"/>
      <c r="D38" s="26"/>
      <c r="E38" s="26"/>
      <c r="F38" s="26"/>
      <c r="G38" s="26"/>
      <c r="H38" s="26"/>
      <c r="I38" s="26"/>
      <c r="J38" s="37"/>
      <c r="K38" s="26"/>
      <c r="L38" s="107"/>
      <c r="M38" s="26"/>
      <c r="N38" s="26"/>
      <c r="O38" s="28">
        <f>Table16[[#This Row],[پیشکي]]-Table16[[#This Row],[د ۵۰ ٪ کرایی درکه]]</f>
        <v>0</v>
      </c>
    </row>
    <row r="39" spans="1:15">
      <c r="A39" s="25"/>
      <c r="B39" s="31"/>
      <c r="C39" s="26"/>
      <c r="D39" s="26"/>
      <c r="E39" s="26"/>
      <c r="F39" s="26"/>
      <c r="G39" s="26"/>
      <c r="H39" s="26"/>
      <c r="I39" s="26"/>
      <c r="J39" s="37"/>
      <c r="K39" s="26"/>
      <c r="L39" s="107"/>
      <c r="M39" s="26"/>
      <c r="N39" s="26"/>
      <c r="O39" s="28">
        <f>Table16[[#This Row],[پیشکي]]-Table16[[#This Row],[د ۵۰ ٪ کرایی درکه]]</f>
        <v>0</v>
      </c>
    </row>
    <row r="40" spans="1:15">
      <c r="A40" s="25"/>
      <c r="B40" s="31"/>
      <c r="C40" s="26"/>
      <c r="D40" s="26"/>
      <c r="E40" s="26"/>
      <c r="F40" s="26"/>
      <c r="G40" s="26"/>
      <c r="H40" s="26"/>
      <c r="I40" s="26"/>
      <c r="J40" s="37"/>
      <c r="K40" s="26"/>
      <c r="L40" s="107"/>
      <c r="M40" s="26"/>
      <c r="N40" s="26"/>
      <c r="O40" s="28">
        <f>Table16[[#This Row],[پیشکي]]-Table16[[#This Row],[د ۵۰ ٪ کرایی درکه]]</f>
        <v>0</v>
      </c>
    </row>
    <row r="41" spans="1:15">
      <c r="A41" s="25"/>
      <c r="B41" s="31"/>
      <c r="C41" s="26"/>
      <c r="D41" s="26"/>
      <c r="E41" s="26"/>
      <c r="F41" s="26"/>
      <c r="G41" s="26"/>
      <c r="H41" s="26"/>
      <c r="I41" s="26"/>
      <c r="J41" s="37"/>
      <c r="K41" s="26"/>
      <c r="L41" s="107"/>
      <c r="M41" s="26"/>
      <c r="N41" s="26"/>
      <c r="O41" s="28">
        <f>Table16[[#This Row],[پیشکي]]-Table16[[#This Row],[د ۵۰ ٪ کرایی درکه]]</f>
        <v>0</v>
      </c>
    </row>
    <row r="42" spans="1:15">
      <c r="A42" s="25"/>
      <c r="B42" s="31"/>
      <c r="C42" s="26"/>
      <c r="D42" s="26"/>
      <c r="E42" s="26"/>
      <c r="F42" s="26"/>
      <c r="G42" s="26"/>
      <c r="H42" s="26"/>
      <c r="I42" s="26"/>
      <c r="J42" s="37"/>
      <c r="K42" s="26"/>
      <c r="L42" s="107"/>
      <c r="M42" s="26"/>
      <c r="N42" s="26"/>
      <c r="O42" s="28">
        <f>Table16[[#This Row],[پیشکي]]-Table16[[#This Row],[د ۵۰ ٪ کرایی درکه]]</f>
        <v>0</v>
      </c>
    </row>
    <row r="43" spans="1:15">
      <c r="A43" s="25"/>
      <c r="B43" s="31"/>
      <c r="C43" s="26"/>
      <c r="D43" s="26"/>
      <c r="E43" s="26"/>
      <c r="F43" s="26"/>
      <c r="G43" s="26"/>
      <c r="H43" s="26"/>
      <c r="I43" s="26"/>
      <c r="J43" s="37"/>
      <c r="K43" s="26"/>
      <c r="L43" s="107"/>
      <c r="M43" s="26"/>
      <c r="N43" s="26"/>
      <c r="O43" s="28">
        <f>Table16[[#This Row],[پیشکي]]-Table16[[#This Row],[د ۵۰ ٪ کرایی درکه]]</f>
        <v>0</v>
      </c>
    </row>
    <row r="44" spans="1:15">
      <c r="A44" s="25"/>
      <c r="B44" s="31"/>
      <c r="C44" s="26"/>
      <c r="D44" s="26"/>
      <c r="E44" s="26"/>
      <c r="F44" s="26"/>
      <c r="G44" s="26"/>
      <c r="H44" s="26"/>
      <c r="I44" s="26"/>
      <c r="J44" s="37"/>
      <c r="K44" s="26"/>
      <c r="L44" s="107"/>
      <c r="M44" s="26"/>
      <c r="N44" s="26"/>
      <c r="O44" s="28">
        <f>Table16[[#This Row],[پیشکي]]-Table16[[#This Row],[د ۵۰ ٪ کرایی درکه]]</f>
        <v>0</v>
      </c>
    </row>
    <row r="45" spans="1:15">
      <c r="A45" s="25"/>
      <c r="B45" s="31"/>
      <c r="C45" s="26"/>
      <c r="D45" s="26"/>
      <c r="E45" s="26"/>
      <c r="F45" s="26"/>
      <c r="G45" s="26"/>
      <c r="H45" s="26"/>
      <c r="I45" s="26"/>
      <c r="J45" s="37"/>
      <c r="K45" s="26"/>
      <c r="L45" s="107"/>
      <c r="M45" s="26"/>
      <c r="N45" s="26"/>
      <c r="O45" s="28">
        <f>Table16[[#This Row],[پیشکي]]-Table16[[#This Row],[د ۵۰ ٪ کرایی درکه]]</f>
        <v>0</v>
      </c>
    </row>
    <row r="46" spans="1:15">
      <c r="A46" s="25"/>
      <c r="B46" s="31"/>
      <c r="C46" s="26"/>
      <c r="D46" s="26"/>
      <c r="E46" s="26"/>
      <c r="F46" s="26"/>
      <c r="G46" s="26"/>
      <c r="H46" s="26"/>
      <c r="I46" s="26"/>
      <c r="J46" s="37"/>
      <c r="K46" s="26"/>
      <c r="L46" s="107"/>
      <c r="M46" s="26"/>
      <c r="N46" s="26"/>
      <c r="O46" s="28">
        <f>Table16[[#This Row],[پیشکي]]-Table16[[#This Row],[د ۵۰ ٪ کرایی درکه]]</f>
        <v>0</v>
      </c>
    </row>
    <row r="47" spans="1:15">
      <c r="A47" s="25"/>
      <c r="B47" s="31"/>
      <c r="C47" s="26"/>
      <c r="D47" s="26"/>
      <c r="E47" s="26"/>
      <c r="F47" s="26"/>
      <c r="G47" s="26"/>
      <c r="H47" s="26"/>
      <c r="I47" s="26"/>
      <c r="J47" s="37"/>
      <c r="K47" s="26"/>
      <c r="L47" s="107"/>
      <c r="M47" s="26"/>
      <c r="N47" s="26"/>
      <c r="O47" s="28">
        <f>Table16[[#This Row],[پیشکي]]-Table16[[#This Row],[د ۵۰ ٪ کرایی درکه]]</f>
        <v>0</v>
      </c>
    </row>
    <row r="48" spans="1:15">
      <c r="A48" s="25"/>
      <c r="B48" s="31"/>
      <c r="C48" s="26"/>
      <c r="D48" s="26"/>
      <c r="E48" s="26"/>
      <c r="F48" s="26"/>
      <c r="G48" s="26"/>
      <c r="H48" s="26"/>
      <c r="I48" s="26"/>
      <c r="J48" s="37"/>
      <c r="K48" s="26"/>
      <c r="L48" s="107"/>
      <c r="M48" s="26"/>
      <c r="N48" s="26"/>
      <c r="O48" s="28">
        <f>Table16[[#This Row],[پیشکي]]-Table16[[#This Row],[د ۵۰ ٪ کرایی درکه]]</f>
        <v>0</v>
      </c>
    </row>
    <row r="49" spans="1:15">
      <c r="A49" s="25"/>
      <c r="B49" s="31"/>
      <c r="C49" s="26"/>
      <c r="D49" s="26"/>
      <c r="E49" s="26"/>
      <c r="F49" s="26"/>
      <c r="G49" s="26"/>
      <c r="H49" s="26"/>
      <c r="I49" s="26"/>
      <c r="J49" s="37"/>
      <c r="K49" s="26"/>
      <c r="L49" s="107"/>
      <c r="M49" s="26"/>
      <c r="N49" s="26"/>
      <c r="O49" s="28">
        <f>Table16[[#This Row],[پیشکي]]-Table16[[#This Row],[د ۵۰ ٪ کرایی درکه]]</f>
        <v>0</v>
      </c>
    </row>
    <row r="50" spans="1:15">
      <c r="A50" s="25"/>
      <c r="B50" s="31"/>
      <c r="C50" s="26"/>
      <c r="D50" s="26"/>
      <c r="E50" s="26"/>
      <c r="F50" s="26"/>
      <c r="G50" s="26"/>
      <c r="H50" s="26"/>
      <c r="I50" s="26"/>
      <c r="J50" s="37"/>
      <c r="K50" s="26"/>
      <c r="L50" s="107"/>
      <c r="M50" s="26"/>
      <c r="N50" s="26"/>
      <c r="O50" s="28">
        <f>Table16[[#This Row],[پیشکي]]-Table16[[#This Row],[د ۵۰ ٪ کرایی درکه]]</f>
        <v>0</v>
      </c>
    </row>
    <row r="51" spans="1:15">
      <c r="A51" s="25"/>
      <c r="B51" s="31"/>
      <c r="C51" s="26"/>
      <c r="D51" s="26"/>
      <c r="E51" s="26"/>
      <c r="F51" s="26"/>
      <c r="G51" s="26"/>
      <c r="H51" s="26"/>
      <c r="I51" s="26"/>
      <c r="J51" s="37"/>
      <c r="K51" s="26"/>
      <c r="L51" s="107"/>
      <c r="M51" s="26"/>
      <c r="N51" s="26"/>
      <c r="O51" s="28">
        <f>Table16[[#This Row],[پیشکي]]-Table16[[#This Row],[د ۵۰ ٪ کرایی درکه]]</f>
        <v>0</v>
      </c>
    </row>
    <row r="52" spans="1:15">
      <c r="A52" s="25"/>
      <c r="B52" s="31"/>
      <c r="C52" s="26"/>
      <c r="D52" s="26"/>
      <c r="E52" s="26"/>
      <c r="F52" s="26"/>
      <c r="G52" s="26"/>
      <c r="H52" s="26"/>
      <c r="I52" s="26"/>
      <c r="J52" s="37"/>
      <c r="K52" s="26"/>
      <c r="L52" s="107"/>
      <c r="M52" s="26"/>
      <c r="N52" s="26"/>
      <c r="O52" s="28">
        <f>Table16[[#This Row],[پیشکي]]-Table16[[#This Row],[د ۵۰ ٪ کرایی درکه]]</f>
        <v>0</v>
      </c>
    </row>
    <row r="53" spans="1:15">
      <c r="A53" s="25"/>
      <c r="B53" s="31"/>
      <c r="C53" s="26"/>
      <c r="D53" s="26"/>
      <c r="E53" s="26"/>
      <c r="F53" s="26"/>
      <c r="G53" s="26"/>
      <c r="H53" s="26"/>
      <c r="I53" s="26"/>
      <c r="J53" s="37"/>
      <c r="K53" s="26"/>
      <c r="L53" s="107"/>
      <c r="M53" s="26"/>
      <c r="N53" s="26"/>
      <c r="O53" s="28">
        <f>Table16[[#This Row],[پیشکي]]-Table16[[#This Row],[د ۵۰ ٪ کرایی درکه]]</f>
        <v>0</v>
      </c>
    </row>
    <row r="54" spans="1:15">
      <c r="A54" s="25"/>
      <c r="B54" s="31"/>
      <c r="C54" s="26"/>
      <c r="D54" s="26"/>
      <c r="E54" s="26"/>
      <c r="F54" s="26"/>
      <c r="G54" s="26"/>
      <c r="H54" s="26"/>
      <c r="I54" s="26"/>
      <c r="J54" s="37"/>
      <c r="K54" s="26"/>
      <c r="L54" s="107"/>
      <c r="M54" s="26"/>
      <c r="N54" s="26"/>
      <c r="O54" s="28">
        <f>Table16[[#This Row],[پیشکي]]-Table16[[#This Row],[د ۵۰ ٪ کرایی درکه]]</f>
        <v>0</v>
      </c>
    </row>
    <row r="55" spans="1:15">
      <c r="A55" s="25"/>
      <c r="B55" s="31"/>
      <c r="C55" s="26"/>
      <c r="D55" s="26"/>
      <c r="E55" s="26"/>
      <c r="F55" s="26"/>
      <c r="G55" s="26"/>
      <c r="H55" s="26"/>
      <c r="I55" s="26"/>
      <c r="J55" s="37"/>
      <c r="K55" s="26"/>
      <c r="L55" s="107"/>
      <c r="M55" s="26"/>
      <c r="N55" s="26"/>
      <c r="O55" s="28">
        <f>Table16[[#This Row],[پیشکي]]-Table16[[#This Row],[د ۵۰ ٪ کرایی درکه]]</f>
        <v>0</v>
      </c>
    </row>
    <row r="56" spans="1:15">
      <c r="A56" s="25"/>
      <c r="B56" s="31"/>
      <c r="C56" s="26"/>
      <c r="D56" s="26"/>
      <c r="E56" s="26"/>
      <c r="F56" s="26"/>
      <c r="G56" s="26"/>
      <c r="H56" s="26"/>
      <c r="I56" s="26"/>
      <c r="J56" s="37"/>
      <c r="K56" s="26"/>
      <c r="L56" s="107"/>
      <c r="M56" s="26"/>
      <c r="N56" s="26"/>
      <c r="O56" s="28">
        <f>Table16[[#This Row],[پیشکي]]-Table16[[#This Row],[د ۵۰ ٪ کرایی درکه]]</f>
        <v>0</v>
      </c>
    </row>
    <row r="57" spans="1:15">
      <c r="A57" s="25"/>
      <c r="B57" s="31"/>
      <c r="C57" s="26"/>
      <c r="D57" s="26"/>
      <c r="E57" s="26"/>
      <c r="F57" s="26"/>
      <c r="G57" s="26"/>
      <c r="H57" s="26"/>
      <c r="I57" s="26"/>
      <c r="J57" s="37"/>
      <c r="K57" s="26"/>
      <c r="L57" s="107"/>
      <c r="M57" s="26"/>
      <c r="N57" s="26"/>
      <c r="O57" s="28">
        <f>Table16[[#This Row],[پیشکي]]-Table16[[#This Row],[د ۵۰ ٪ کرایی درکه]]</f>
        <v>0</v>
      </c>
    </row>
    <row r="58" spans="1:15">
      <c r="A58" s="25"/>
      <c r="B58" s="31"/>
      <c r="C58" s="26"/>
      <c r="D58" s="26"/>
      <c r="E58" s="26"/>
      <c r="F58" s="26"/>
      <c r="G58" s="26"/>
      <c r="H58" s="26"/>
      <c r="I58" s="26"/>
      <c r="J58" s="37"/>
      <c r="K58" s="26"/>
      <c r="L58" s="107"/>
      <c r="M58" s="26"/>
      <c r="N58" s="26"/>
      <c r="O58" s="28">
        <f>Table16[[#This Row],[پیشکي]]-Table16[[#This Row],[د ۵۰ ٪ کرایی درکه]]</f>
        <v>0</v>
      </c>
    </row>
    <row r="59" spans="1:15">
      <c r="A59" s="25"/>
      <c r="B59" s="31"/>
      <c r="C59" s="26"/>
      <c r="D59" s="26"/>
      <c r="E59" s="26"/>
      <c r="F59" s="26"/>
      <c r="G59" s="26"/>
      <c r="H59" s="26"/>
      <c r="I59" s="26"/>
      <c r="J59" s="37"/>
      <c r="K59" s="26"/>
      <c r="L59" s="107"/>
      <c r="M59" s="26"/>
      <c r="N59" s="26"/>
      <c r="O59" s="28">
        <f>Table16[[#This Row],[پیشکي]]-Table16[[#This Row],[د ۵۰ ٪ کرایی درکه]]</f>
        <v>0</v>
      </c>
    </row>
    <row r="60" spans="1:15">
      <c r="A60" s="25"/>
      <c r="B60" s="31"/>
      <c r="C60" s="26"/>
      <c r="D60" s="26"/>
      <c r="E60" s="26"/>
      <c r="F60" s="26"/>
      <c r="G60" s="26"/>
      <c r="H60" s="26"/>
      <c r="I60" s="26"/>
      <c r="J60" s="37"/>
      <c r="K60" s="26"/>
      <c r="L60" s="107"/>
      <c r="M60" s="26"/>
      <c r="N60" s="26"/>
      <c r="O60" s="28">
        <f>Table16[[#This Row],[پیشکي]]-Table16[[#This Row],[د ۵۰ ٪ کرایی درکه]]</f>
        <v>0</v>
      </c>
    </row>
    <row r="61" spans="1:15">
      <c r="A61" s="25"/>
      <c r="B61" s="31"/>
      <c r="C61" s="26"/>
      <c r="D61" s="26"/>
      <c r="E61" s="26"/>
      <c r="F61" s="26"/>
      <c r="G61" s="26"/>
      <c r="H61" s="26"/>
      <c r="I61" s="26"/>
      <c r="J61" s="37"/>
      <c r="K61" s="26"/>
      <c r="L61" s="107"/>
      <c r="M61" s="26"/>
      <c r="N61" s="26"/>
      <c r="O61" s="28">
        <f>Table16[[#This Row],[پیشکي]]-Table16[[#This Row],[د ۵۰ ٪ کرایی درکه]]</f>
        <v>0</v>
      </c>
    </row>
    <row r="62" spans="1:15">
      <c r="A62" s="25"/>
      <c r="B62" s="31"/>
      <c r="C62" s="26"/>
      <c r="D62" s="26"/>
      <c r="E62" s="26"/>
      <c r="F62" s="26"/>
      <c r="G62" s="26"/>
      <c r="H62" s="26"/>
      <c r="I62" s="26"/>
      <c r="J62" s="37"/>
      <c r="K62" s="26"/>
      <c r="L62" s="107"/>
      <c r="M62" s="26"/>
      <c r="N62" s="26"/>
      <c r="O62" s="28">
        <f>Table16[[#This Row],[پیشکي]]-Table16[[#This Row],[د ۵۰ ٪ کرایی درکه]]</f>
        <v>0</v>
      </c>
    </row>
    <row r="63" spans="1:15">
      <c r="A63" s="25"/>
      <c r="B63" s="31"/>
      <c r="C63" s="26"/>
      <c r="D63" s="26"/>
      <c r="E63" s="26"/>
      <c r="F63" s="26"/>
      <c r="G63" s="26"/>
      <c r="H63" s="26"/>
      <c r="I63" s="26"/>
      <c r="J63" s="37"/>
      <c r="K63" s="26"/>
      <c r="L63" s="107"/>
      <c r="M63" s="26"/>
      <c r="N63" s="26"/>
      <c r="O63" s="28">
        <f>Table16[[#This Row],[پیشکي]]-Table16[[#This Row],[د ۵۰ ٪ کرایی درکه]]</f>
        <v>0</v>
      </c>
    </row>
    <row r="64" spans="1:15">
      <c r="A64" s="25"/>
      <c r="B64" s="31"/>
      <c r="C64" s="26"/>
      <c r="D64" s="26"/>
      <c r="E64" s="26"/>
      <c r="F64" s="26"/>
      <c r="G64" s="26"/>
      <c r="H64" s="26"/>
      <c r="I64" s="26"/>
      <c r="J64" s="37"/>
      <c r="K64" s="26"/>
      <c r="L64" s="107"/>
      <c r="M64" s="26"/>
      <c r="N64" s="26"/>
      <c r="O64" s="28">
        <f>Table16[[#This Row],[پیشکي]]-Table16[[#This Row],[د ۵۰ ٪ کرایی درکه]]</f>
        <v>0</v>
      </c>
    </row>
    <row r="65" spans="1:15">
      <c r="A65" s="25"/>
      <c r="B65" s="31"/>
      <c r="C65" s="26"/>
      <c r="D65" s="26"/>
      <c r="E65" s="26"/>
      <c r="F65" s="26"/>
      <c r="G65" s="26"/>
      <c r="H65" s="26"/>
      <c r="I65" s="26"/>
      <c r="J65" s="37"/>
      <c r="K65" s="26"/>
      <c r="L65" s="107"/>
      <c r="M65" s="26"/>
      <c r="N65" s="26"/>
      <c r="O65" s="28">
        <f>Table16[[#This Row],[پیشکي]]-Table16[[#This Row],[د ۵۰ ٪ کرایی درکه]]</f>
        <v>0</v>
      </c>
    </row>
    <row r="66" spans="1:15">
      <c r="A66" s="25"/>
      <c r="B66" s="31"/>
      <c r="C66" s="26"/>
      <c r="D66" s="26"/>
      <c r="E66" s="26"/>
      <c r="F66" s="26"/>
      <c r="G66" s="26"/>
      <c r="H66" s="26"/>
      <c r="I66" s="26"/>
      <c r="J66" s="37"/>
      <c r="K66" s="26"/>
      <c r="L66" s="107"/>
      <c r="M66" s="26"/>
      <c r="N66" s="26"/>
      <c r="O66" s="28">
        <f>Table16[[#This Row],[پیشکي]]-Table16[[#This Row],[د ۵۰ ٪ کرایی درکه]]</f>
        <v>0</v>
      </c>
    </row>
    <row r="67" spans="1:15">
      <c r="A67" s="25"/>
      <c r="B67" s="31"/>
      <c r="C67" s="26"/>
      <c r="D67" s="26"/>
      <c r="E67" s="26"/>
      <c r="F67" s="26"/>
      <c r="G67" s="26"/>
      <c r="H67" s="26"/>
      <c r="I67" s="26"/>
      <c r="J67" s="37"/>
      <c r="K67" s="26"/>
      <c r="L67" s="107"/>
      <c r="M67" s="26"/>
      <c r="N67" s="26"/>
      <c r="O67" s="28">
        <f>Table16[[#This Row],[پیشکي]]-Table16[[#This Row],[د ۵۰ ٪ کرایی درکه]]</f>
        <v>0</v>
      </c>
    </row>
    <row r="68" spans="1:15">
      <c r="A68" s="25"/>
      <c r="B68" s="31"/>
      <c r="C68" s="26"/>
      <c r="D68" s="26"/>
      <c r="E68" s="26"/>
      <c r="F68" s="26"/>
      <c r="G68" s="26"/>
      <c r="H68" s="26"/>
      <c r="I68" s="26"/>
      <c r="J68" s="37"/>
      <c r="K68" s="26"/>
      <c r="L68" s="107"/>
      <c r="M68" s="26"/>
      <c r="N68" s="26"/>
      <c r="O68" s="28">
        <f>Table16[[#This Row],[پیشکي]]-Table16[[#This Row],[د ۵۰ ٪ کرایی درکه]]</f>
        <v>0</v>
      </c>
    </row>
    <row r="69" spans="1:15">
      <c r="A69" s="25"/>
      <c r="B69" s="31"/>
      <c r="C69" s="26"/>
      <c r="D69" s="26"/>
      <c r="E69" s="26"/>
      <c r="F69" s="26"/>
      <c r="G69" s="26"/>
      <c r="H69" s="26"/>
      <c r="I69" s="26"/>
      <c r="J69" s="37"/>
      <c r="K69" s="26"/>
      <c r="L69" s="107"/>
      <c r="M69" s="26"/>
      <c r="N69" s="26"/>
      <c r="O69" s="28">
        <f>Table16[[#This Row],[پیشکي]]-Table16[[#This Row],[د ۵۰ ٪ کرایی درکه]]</f>
        <v>0</v>
      </c>
    </row>
    <row r="70" spans="1:15">
      <c r="A70" s="25"/>
      <c r="B70" s="31"/>
      <c r="C70" s="26"/>
      <c r="D70" s="26"/>
      <c r="E70" s="26"/>
      <c r="F70" s="26"/>
      <c r="G70" s="26"/>
      <c r="H70" s="26"/>
      <c r="I70" s="26"/>
      <c r="J70" s="37"/>
      <c r="K70" s="26"/>
      <c r="L70" s="107"/>
      <c r="M70" s="26"/>
      <c r="N70" s="26"/>
      <c r="O70" s="28">
        <f>Table16[[#This Row],[پیشکي]]-Table16[[#This Row],[د ۵۰ ٪ کرایی درکه]]</f>
        <v>0</v>
      </c>
    </row>
    <row r="71" spans="1:15">
      <c r="A71" s="25"/>
      <c r="B71" s="31"/>
      <c r="C71" s="26"/>
      <c r="D71" s="26"/>
      <c r="E71" s="26"/>
      <c r="F71" s="26"/>
      <c r="G71" s="26"/>
      <c r="H71" s="26"/>
      <c r="I71" s="26"/>
      <c r="J71" s="37"/>
      <c r="K71" s="26"/>
      <c r="L71" s="107"/>
      <c r="M71" s="26"/>
      <c r="N71" s="26"/>
      <c r="O71" s="28">
        <f>Table16[[#This Row],[پیشکي]]-Table16[[#This Row],[د ۵۰ ٪ کرایی درکه]]</f>
        <v>0</v>
      </c>
    </row>
    <row r="72" spans="1:15">
      <c r="A72" s="25"/>
      <c r="B72" s="31"/>
      <c r="C72" s="26"/>
      <c r="D72" s="26"/>
      <c r="E72" s="26"/>
      <c r="F72" s="26"/>
      <c r="G72" s="26"/>
      <c r="H72" s="26"/>
      <c r="I72" s="26"/>
      <c r="J72" s="37"/>
      <c r="K72" s="26"/>
      <c r="L72" s="107"/>
      <c r="M72" s="26"/>
      <c r="N72" s="26"/>
      <c r="O72" s="28">
        <f>Table16[[#This Row],[پیشکي]]-Table16[[#This Row],[د ۵۰ ٪ کرایی درکه]]</f>
        <v>0</v>
      </c>
    </row>
    <row r="73" spans="1:15">
      <c r="A73" s="25"/>
      <c r="B73" s="31"/>
      <c r="C73" s="26"/>
      <c r="D73" s="26"/>
      <c r="E73" s="26"/>
      <c r="F73" s="26"/>
      <c r="G73" s="26"/>
      <c r="H73" s="26"/>
      <c r="I73" s="26"/>
      <c r="J73" s="37"/>
      <c r="K73" s="26"/>
      <c r="L73" s="107"/>
      <c r="M73" s="26"/>
      <c r="N73" s="26"/>
      <c r="O73" s="28">
        <f>Table16[[#This Row],[پیشکي]]-Table16[[#This Row],[د ۵۰ ٪ کرایی درکه]]</f>
        <v>0</v>
      </c>
    </row>
    <row r="74" spans="1:15">
      <c r="A74" s="25"/>
      <c r="B74" s="31"/>
      <c r="C74" s="26"/>
      <c r="D74" s="26"/>
      <c r="E74" s="26"/>
      <c r="F74" s="26"/>
      <c r="G74" s="26"/>
      <c r="H74" s="26"/>
      <c r="I74" s="26"/>
      <c r="J74" s="37"/>
      <c r="K74" s="26"/>
      <c r="L74" s="107"/>
      <c r="M74" s="26"/>
      <c r="N74" s="26"/>
      <c r="O74" s="28">
        <f>Table16[[#This Row],[پیشکي]]-Table16[[#This Row],[د ۵۰ ٪ کرایی درکه]]</f>
        <v>0</v>
      </c>
    </row>
    <row r="75" spans="1:15">
      <c r="A75" s="42"/>
      <c r="B75" s="43"/>
      <c r="C75" s="38"/>
      <c r="D75" s="38"/>
      <c r="E75" s="38"/>
      <c r="F75" s="38"/>
      <c r="G75" s="38"/>
      <c r="H75" s="38"/>
      <c r="I75" s="38"/>
      <c r="J75" s="45"/>
      <c r="K75" s="38"/>
      <c r="L75" s="108"/>
      <c r="M75" s="38"/>
      <c r="N75" s="44"/>
      <c r="O75" s="39">
        <f>Table16[[#This Row],[پیشکي]]-Table16[[#This Row],[د ۵۰ ٪ کرایی درکه]]</f>
        <v>0</v>
      </c>
    </row>
    <row r="76" spans="1:15">
      <c r="A76" s="41"/>
      <c r="B76" s="43"/>
      <c r="C76" s="26"/>
      <c r="D76" s="26"/>
      <c r="E76" s="26"/>
      <c r="F76" s="26"/>
      <c r="G76" s="26"/>
      <c r="H76" s="26"/>
      <c r="I76" s="26"/>
      <c r="J76" s="37"/>
      <c r="K76" s="26"/>
      <c r="L76" s="107"/>
      <c r="M76" s="26"/>
      <c r="N76" s="40"/>
      <c r="O76" s="28">
        <f>Table16[[#This Row],[پیشکي]]-Table16[[#This Row],[د ۵۰ ٪ کرایی درکه]]</f>
        <v>0</v>
      </c>
    </row>
    <row r="77" spans="1:15">
      <c r="A77" s="41"/>
      <c r="B77" s="43"/>
      <c r="C77" s="26"/>
      <c r="D77" s="26"/>
      <c r="E77" s="26"/>
      <c r="F77" s="26"/>
      <c r="G77" s="26"/>
      <c r="H77" s="26"/>
      <c r="I77" s="26"/>
      <c r="J77" s="37"/>
      <c r="K77" s="26"/>
      <c r="L77" s="107"/>
      <c r="M77" s="26"/>
      <c r="N77" s="40"/>
      <c r="O77" s="28">
        <f>Table16[[#This Row],[پیشکي]]-Table16[[#This Row],[د ۵۰ ٪ کرایی درکه]]</f>
        <v>0</v>
      </c>
    </row>
    <row r="78" spans="1:15">
      <c r="A78" s="41"/>
      <c r="B78" s="43"/>
      <c r="C78" s="26"/>
      <c r="D78" s="26"/>
      <c r="E78" s="26"/>
      <c r="F78" s="26"/>
      <c r="G78" s="26"/>
      <c r="H78" s="26"/>
      <c r="I78" s="26"/>
      <c r="J78" s="37"/>
      <c r="K78" s="26"/>
      <c r="L78" s="107"/>
      <c r="M78" s="26"/>
      <c r="N78" s="40"/>
      <c r="O78" s="28">
        <f>Table16[[#This Row],[پیشکي]]-Table16[[#This Row],[د ۵۰ ٪ کرایی درکه]]</f>
        <v>0</v>
      </c>
    </row>
    <row r="79" spans="1:15">
      <c r="A79" s="41"/>
      <c r="B79" s="43"/>
      <c r="C79" s="26"/>
      <c r="D79" s="26"/>
      <c r="E79" s="26"/>
      <c r="F79" s="26"/>
      <c r="G79" s="26"/>
      <c r="H79" s="26"/>
      <c r="I79" s="26"/>
      <c r="J79" s="37"/>
      <c r="K79" s="26"/>
      <c r="L79" s="107"/>
      <c r="M79" s="26"/>
      <c r="N79" s="40"/>
      <c r="O79" s="28">
        <f>Table16[[#This Row],[پیشکي]]-Table16[[#This Row],[د ۵۰ ٪ کرایی درکه]]</f>
        <v>0</v>
      </c>
    </row>
    <row r="80" spans="1:15">
      <c r="A80" s="41"/>
      <c r="B80" s="43"/>
      <c r="C80" s="26"/>
      <c r="D80" s="26"/>
      <c r="E80" s="26"/>
      <c r="F80" s="26"/>
      <c r="G80" s="26"/>
      <c r="H80" s="26"/>
      <c r="I80" s="26"/>
      <c r="J80" s="37"/>
      <c r="K80" s="26"/>
      <c r="L80" s="107"/>
      <c r="M80" s="26"/>
      <c r="N80" s="40"/>
      <c r="O80" s="28">
        <f>Table16[[#This Row],[پیشکي]]-Table16[[#This Row],[د ۵۰ ٪ کرایی درکه]]</f>
        <v>0</v>
      </c>
    </row>
    <row r="81" spans="1:15">
      <c r="A81" s="41"/>
      <c r="B81" s="43"/>
      <c r="C81" s="26"/>
      <c r="D81" s="26"/>
      <c r="E81" s="26"/>
      <c r="F81" s="26"/>
      <c r="G81" s="26"/>
      <c r="H81" s="26"/>
      <c r="I81" s="26"/>
      <c r="J81" s="37"/>
      <c r="K81" s="26"/>
      <c r="L81" s="107"/>
      <c r="M81" s="26"/>
      <c r="N81" s="40"/>
      <c r="O81" s="28">
        <f>Table16[[#This Row],[پیشکي]]-Table16[[#This Row],[د ۵۰ ٪ کرایی درکه]]</f>
        <v>0</v>
      </c>
    </row>
    <row r="82" spans="1:15">
      <c r="A82" s="41"/>
      <c r="B82" s="43"/>
      <c r="C82" s="26"/>
      <c r="D82" s="26"/>
      <c r="E82" s="26"/>
      <c r="F82" s="26"/>
      <c r="G82" s="26"/>
      <c r="H82" s="26"/>
      <c r="I82" s="26"/>
      <c r="J82" s="37"/>
      <c r="K82" s="26"/>
      <c r="L82" s="107"/>
      <c r="M82" s="26"/>
      <c r="N82" s="40"/>
      <c r="O82" s="28">
        <f>Table16[[#This Row],[پیشکي]]-Table16[[#This Row],[د ۵۰ ٪ کرایی درکه]]</f>
        <v>0</v>
      </c>
    </row>
    <row r="83" spans="1:15">
      <c r="A83" s="41"/>
      <c r="B83" s="43"/>
      <c r="C83" s="26"/>
      <c r="D83" s="26"/>
      <c r="E83" s="26"/>
      <c r="F83" s="26"/>
      <c r="G83" s="26"/>
      <c r="H83" s="26"/>
      <c r="I83" s="26"/>
      <c r="J83" s="37"/>
      <c r="K83" s="26"/>
      <c r="L83" s="107"/>
      <c r="M83" s="26"/>
      <c r="N83" s="40"/>
      <c r="O83" s="28">
        <f>Table16[[#This Row],[پیشکي]]-Table16[[#This Row],[د ۵۰ ٪ کرایی درکه]]</f>
        <v>0</v>
      </c>
    </row>
    <row r="84" spans="1:15">
      <c r="A84" s="41"/>
      <c r="B84" s="43"/>
      <c r="C84" s="26"/>
      <c r="D84" s="26"/>
      <c r="E84" s="26"/>
      <c r="F84" s="26"/>
      <c r="G84" s="26"/>
      <c r="H84" s="26"/>
      <c r="I84" s="26"/>
      <c r="J84" s="37"/>
      <c r="K84" s="26"/>
      <c r="L84" s="107"/>
      <c r="M84" s="26"/>
      <c r="N84" s="40"/>
      <c r="O84" s="28">
        <f>Table16[[#This Row],[پیشکي]]-Table16[[#This Row],[د ۵۰ ٪ کرایی درکه]]</f>
        <v>0</v>
      </c>
    </row>
    <row r="85" spans="1:15">
      <c r="A85" s="41"/>
      <c r="B85" s="43"/>
      <c r="C85" s="26"/>
      <c r="D85" s="26"/>
      <c r="E85" s="26"/>
      <c r="F85" s="26"/>
      <c r="G85" s="26"/>
      <c r="H85" s="26"/>
      <c r="I85" s="26"/>
      <c r="J85" s="37"/>
      <c r="K85" s="26"/>
      <c r="L85" s="107"/>
      <c r="M85" s="26"/>
      <c r="N85" s="40"/>
      <c r="O85" s="28">
        <f>Table16[[#This Row],[پیشکي]]-Table16[[#This Row],[د ۵۰ ٪ کرایی درکه]]</f>
        <v>0</v>
      </c>
    </row>
    <row r="86" spans="1:15">
      <c r="A86" s="41"/>
      <c r="B86" s="43"/>
      <c r="C86" s="26"/>
      <c r="D86" s="26"/>
      <c r="E86" s="26"/>
      <c r="F86" s="26"/>
      <c r="G86" s="26"/>
      <c r="H86" s="26"/>
      <c r="I86" s="26"/>
      <c r="J86" s="37"/>
      <c r="K86" s="26"/>
      <c r="L86" s="107"/>
      <c r="M86" s="26"/>
      <c r="N86" s="40"/>
      <c r="O86" s="28">
        <f>Table16[[#This Row],[پیشکي]]-Table16[[#This Row],[د ۵۰ ٪ کرایی درکه]]</f>
        <v>0</v>
      </c>
    </row>
    <row r="87" spans="1:15">
      <c r="A87" s="41"/>
      <c r="B87" s="43"/>
      <c r="C87" s="26"/>
      <c r="D87" s="26"/>
      <c r="E87" s="26"/>
      <c r="F87" s="26"/>
      <c r="G87" s="26"/>
      <c r="H87" s="26"/>
      <c r="I87" s="26"/>
      <c r="J87" s="37"/>
      <c r="K87" s="26"/>
      <c r="L87" s="107"/>
      <c r="M87" s="26"/>
      <c r="N87" s="40"/>
      <c r="O87" s="28">
        <f>Table16[[#This Row],[پیشکي]]-Table16[[#This Row],[د ۵۰ ٪ کرایی درکه]]</f>
        <v>0</v>
      </c>
    </row>
    <row r="88" spans="1:15">
      <c r="A88" s="41"/>
      <c r="B88" s="43"/>
      <c r="C88" s="26"/>
      <c r="D88" s="26"/>
      <c r="E88" s="26"/>
      <c r="F88" s="26"/>
      <c r="G88" s="26"/>
      <c r="H88" s="26"/>
      <c r="I88" s="26"/>
      <c r="J88" s="37"/>
      <c r="K88" s="26"/>
      <c r="L88" s="107"/>
      <c r="M88" s="26"/>
      <c r="N88" s="40"/>
      <c r="O88" s="28">
        <f>Table16[[#This Row],[پیشکي]]-Table16[[#This Row],[د ۵۰ ٪ کرایی درکه]]</f>
        <v>0</v>
      </c>
    </row>
    <row r="89" spans="1:15">
      <c r="A89" s="41"/>
      <c r="B89" s="43"/>
      <c r="C89" s="26"/>
      <c r="D89" s="26"/>
      <c r="E89" s="26"/>
      <c r="F89" s="26"/>
      <c r="G89" s="26"/>
      <c r="H89" s="26"/>
      <c r="I89" s="26"/>
      <c r="J89" s="37"/>
      <c r="K89" s="26"/>
      <c r="L89" s="107"/>
      <c r="M89" s="26"/>
      <c r="N89" s="40"/>
      <c r="O89" s="28">
        <f>Table16[[#This Row],[پیشکي]]-Table16[[#This Row],[د ۵۰ ٪ کرایی درکه]]</f>
        <v>0</v>
      </c>
    </row>
    <row r="90" spans="1:15">
      <c r="A90" s="41"/>
      <c r="B90" s="43"/>
      <c r="C90" s="26"/>
      <c r="D90" s="26"/>
      <c r="E90" s="26"/>
      <c r="F90" s="26"/>
      <c r="G90" s="26"/>
      <c r="H90" s="26"/>
      <c r="I90" s="26"/>
      <c r="J90" s="37"/>
      <c r="K90" s="26"/>
      <c r="L90" s="107"/>
      <c r="M90" s="26"/>
      <c r="N90" s="40"/>
      <c r="O90" s="28">
        <f>Table16[[#This Row],[پیشکي]]-Table16[[#This Row],[د ۵۰ ٪ کرایی درکه]]</f>
        <v>0</v>
      </c>
    </row>
    <row r="91" spans="1:15">
      <c r="A91" s="41"/>
      <c r="B91" s="43"/>
      <c r="C91" s="26"/>
      <c r="D91" s="26"/>
      <c r="E91" s="26"/>
      <c r="F91" s="26"/>
      <c r="G91" s="26"/>
      <c r="H91" s="26"/>
      <c r="I91" s="26"/>
      <c r="J91" s="37"/>
      <c r="K91" s="26"/>
      <c r="L91" s="107"/>
      <c r="M91" s="26"/>
      <c r="N91" s="40"/>
      <c r="O91" s="28">
        <f>Table16[[#This Row],[پیشکي]]-Table16[[#This Row],[د ۵۰ ٪ کرایی درکه]]</f>
        <v>0</v>
      </c>
    </row>
    <row r="92" spans="1:15">
      <c r="A92" s="41"/>
      <c r="B92" s="43"/>
      <c r="C92" s="26"/>
      <c r="D92" s="26"/>
      <c r="E92" s="26"/>
      <c r="F92" s="26"/>
      <c r="G92" s="26"/>
      <c r="H92" s="26"/>
      <c r="I92" s="26"/>
      <c r="J92" s="37"/>
      <c r="K92" s="26"/>
      <c r="L92" s="107"/>
      <c r="M92" s="26"/>
      <c r="N92" s="40"/>
      <c r="O92" s="28">
        <f>Table16[[#This Row],[پیشکي]]-Table16[[#This Row],[د ۵۰ ٪ کرایی درکه]]</f>
        <v>0</v>
      </c>
    </row>
    <row r="93" spans="1:15">
      <c r="A93" s="41"/>
      <c r="B93" s="43"/>
      <c r="C93" s="26"/>
      <c r="D93" s="26"/>
      <c r="E93" s="26"/>
      <c r="F93" s="26"/>
      <c r="G93" s="26"/>
      <c r="H93" s="26"/>
      <c r="I93" s="26"/>
      <c r="J93" s="37"/>
      <c r="K93" s="26"/>
      <c r="L93" s="107"/>
      <c r="M93" s="26"/>
      <c r="N93" s="40"/>
      <c r="O93" s="28">
        <f>Table16[[#This Row],[پیشکي]]-Table16[[#This Row],[د ۵۰ ٪ کرایی درکه]]</f>
        <v>0</v>
      </c>
    </row>
    <row r="94" spans="1:15">
      <c r="A94" s="41"/>
      <c r="B94" s="43"/>
      <c r="C94" s="26"/>
      <c r="D94" s="26"/>
      <c r="E94" s="26"/>
      <c r="F94" s="26"/>
      <c r="G94" s="26"/>
      <c r="H94" s="26"/>
      <c r="I94" s="26"/>
      <c r="J94" s="37"/>
      <c r="K94" s="26"/>
      <c r="L94" s="107"/>
      <c r="M94" s="26"/>
      <c r="N94" s="40"/>
      <c r="O94" s="28">
        <f>Table16[[#This Row],[پیشکي]]-Table16[[#This Row],[د ۵۰ ٪ کرایی درکه]]</f>
        <v>0</v>
      </c>
    </row>
    <row r="95" spans="1:15">
      <c r="A95" s="41"/>
      <c r="B95" s="43"/>
      <c r="C95" s="26"/>
      <c r="D95" s="26"/>
      <c r="E95" s="26"/>
      <c r="F95" s="26"/>
      <c r="G95" s="26"/>
      <c r="H95" s="26"/>
      <c r="I95" s="26"/>
      <c r="J95" s="37"/>
      <c r="K95" s="26"/>
      <c r="L95" s="107"/>
      <c r="M95" s="26"/>
      <c r="N95" s="40"/>
      <c r="O95" s="28">
        <f>Table16[[#This Row],[پیشکي]]-Table16[[#This Row],[د ۵۰ ٪ کرایی درکه]]</f>
        <v>0</v>
      </c>
    </row>
    <row r="96" spans="1:15">
      <c r="A96" s="41"/>
      <c r="B96" s="43"/>
      <c r="C96" s="26"/>
      <c r="D96" s="26"/>
      <c r="E96" s="26"/>
      <c r="F96" s="26"/>
      <c r="G96" s="26"/>
      <c r="H96" s="26"/>
      <c r="I96" s="26"/>
      <c r="J96" s="37"/>
      <c r="K96" s="26"/>
      <c r="L96" s="107"/>
      <c r="M96" s="26"/>
      <c r="N96" s="40"/>
      <c r="O96" s="28">
        <f>Table16[[#This Row],[پیشکي]]-Table16[[#This Row],[د ۵۰ ٪ کرایی درکه]]</f>
        <v>0</v>
      </c>
    </row>
    <row r="97" spans="1:15">
      <c r="A97" s="41"/>
      <c r="B97" s="43"/>
      <c r="C97" s="26"/>
      <c r="D97" s="26"/>
      <c r="E97" s="26"/>
      <c r="F97" s="26"/>
      <c r="G97" s="26"/>
      <c r="H97" s="26"/>
      <c r="I97" s="26"/>
      <c r="J97" s="37"/>
      <c r="K97" s="26"/>
      <c r="L97" s="107"/>
      <c r="M97" s="26"/>
      <c r="N97" s="40"/>
      <c r="O97" s="28">
        <f>Table16[[#This Row],[پیشکي]]-Table16[[#This Row],[د ۵۰ ٪ کرایی درکه]]</f>
        <v>0</v>
      </c>
    </row>
    <row r="98" spans="1:15">
      <c r="A98" s="41"/>
      <c r="B98" s="43"/>
      <c r="C98" s="26"/>
      <c r="D98" s="26"/>
      <c r="E98" s="26"/>
      <c r="F98" s="26"/>
      <c r="G98" s="26"/>
      <c r="H98" s="26"/>
      <c r="I98" s="26"/>
      <c r="J98" s="37"/>
      <c r="K98" s="26"/>
      <c r="L98" s="107"/>
      <c r="M98" s="26"/>
      <c r="N98" s="40"/>
      <c r="O98" s="28">
        <f>Table16[[#This Row],[پیشکي]]-Table16[[#This Row],[د ۵۰ ٪ کرایی درکه]]</f>
        <v>0</v>
      </c>
    </row>
    <row r="99" spans="1:15">
      <c r="A99" s="41"/>
      <c r="B99" s="43"/>
      <c r="C99" s="26"/>
      <c r="D99" s="26"/>
      <c r="E99" s="26"/>
      <c r="F99" s="26"/>
      <c r="G99" s="26"/>
      <c r="H99" s="26"/>
      <c r="I99" s="26"/>
      <c r="J99" s="37"/>
      <c r="K99" s="26"/>
      <c r="L99" s="107"/>
      <c r="M99" s="26"/>
      <c r="N99" s="40"/>
      <c r="O99" s="28">
        <f>Table16[[#This Row],[پیشکي]]-Table16[[#This Row],[د ۵۰ ٪ کرایی درکه]]</f>
        <v>0</v>
      </c>
    </row>
    <row r="100" spans="1:15">
      <c r="A100" s="41"/>
      <c r="B100" s="43"/>
      <c r="C100" s="26"/>
      <c r="D100" s="26"/>
      <c r="E100" s="26"/>
      <c r="F100" s="26"/>
      <c r="G100" s="26"/>
      <c r="H100" s="26"/>
      <c r="I100" s="26"/>
      <c r="J100" s="37"/>
      <c r="K100" s="26"/>
      <c r="L100" s="107"/>
      <c r="M100" s="26"/>
      <c r="N100" s="40"/>
      <c r="O100" s="28">
        <f>Table16[[#This Row],[پیشکي]]-Table16[[#This Row],[د ۵۰ ٪ کرایی درکه]]</f>
        <v>0</v>
      </c>
    </row>
    <row r="101" spans="1:15">
      <c r="A101" s="41"/>
      <c r="B101" s="43"/>
      <c r="C101" s="26"/>
      <c r="D101" s="26"/>
      <c r="E101" s="26"/>
      <c r="F101" s="26"/>
      <c r="G101" s="26"/>
      <c r="H101" s="26"/>
      <c r="I101" s="26"/>
      <c r="J101" s="37"/>
      <c r="K101" s="26"/>
      <c r="L101" s="107"/>
      <c r="M101" s="26"/>
      <c r="N101" s="40"/>
      <c r="O101" s="28">
        <f>Table16[[#This Row],[پیشکي]]-Table16[[#This Row],[د ۵۰ ٪ کرایی درکه]]</f>
        <v>0</v>
      </c>
    </row>
    <row r="102" spans="1:15">
      <c r="A102" s="41"/>
      <c r="B102" s="43"/>
      <c r="C102" s="26"/>
      <c r="D102" s="26"/>
      <c r="E102" s="26"/>
      <c r="F102" s="26"/>
      <c r="G102" s="26"/>
      <c r="H102" s="26"/>
      <c r="I102" s="26"/>
      <c r="J102" s="37"/>
      <c r="K102" s="26"/>
      <c r="L102" s="107"/>
      <c r="M102" s="26"/>
      <c r="N102" s="40"/>
      <c r="O102" s="28">
        <f>Table16[[#This Row],[پیشکي]]-Table16[[#This Row],[د ۵۰ ٪ کرایی درکه]]</f>
        <v>0</v>
      </c>
    </row>
    <row r="103" spans="1:15">
      <c r="A103" s="41"/>
      <c r="B103" s="43"/>
      <c r="C103" s="26"/>
      <c r="D103" s="26"/>
      <c r="E103" s="26"/>
      <c r="F103" s="26"/>
      <c r="G103" s="26"/>
      <c r="H103" s="26"/>
      <c r="I103" s="26"/>
      <c r="J103" s="37"/>
      <c r="K103" s="26"/>
      <c r="L103" s="107"/>
      <c r="M103" s="26"/>
      <c r="N103" s="40"/>
      <c r="O103" s="28">
        <f>Table16[[#This Row],[پیشکي]]-Table16[[#This Row],[د ۵۰ ٪ کرایی درکه]]</f>
        <v>0</v>
      </c>
    </row>
    <row r="104" spans="1:15">
      <c r="A104" s="41"/>
      <c r="B104" s="43"/>
      <c r="C104" s="26"/>
      <c r="D104" s="26"/>
      <c r="E104" s="26"/>
      <c r="F104" s="26"/>
      <c r="G104" s="26"/>
      <c r="H104" s="26"/>
      <c r="I104" s="26"/>
      <c r="J104" s="37"/>
      <c r="K104" s="26"/>
      <c r="L104" s="107"/>
      <c r="M104" s="26"/>
      <c r="N104" s="40"/>
      <c r="O104" s="28">
        <f>Table16[[#This Row],[پیشکي]]-Table16[[#This Row],[د ۵۰ ٪ کرایی درکه]]</f>
        <v>0</v>
      </c>
    </row>
    <row r="105" spans="1:15">
      <c r="A105" s="41"/>
      <c r="B105" s="43"/>
      <c r="C105" s="26"/>
      <c r="D105" s="26"/>
      <c r="E105" s="26"/>
      <c r="F105" s="26"/>
      <c r="G105" s="26"/>
      <c r="H105" s="26"/>
      <c r="I105" s="26"/>
      <c r="J105" s="37"/>
      <c r="K105" s="26"/>
      <c r="L105" s="107"/>
      <c r="M105" s="26"/>
      <c r="N105" s="40"/>
      <c r="O105" s="28">
        <f>Table16[[#This Row],[پیشکي]]-Table16[[#This Row],[د ۵۰ ٪ کرایی درکه]]</f>
        <v>0</v>
      </c>
    </row>
    <row r="106" spans="1:15">
      <c r="A106" s="41"/>
      <c r="B106" s="43"/>
      <c r="C106" s="26"/>
      <c r="D106" s="26"/>
      <c r="E106" s="26"/>
      <c r="F106" s="26"/>
      <c r="G106" s="26"/>
      <c r="H106" s="26"/>
      <c r="I106" s="26"/>
      <c r="J106" s="37"/>
      <c r="K106" s="26"/>
      <c r="L106" s="107"/>
      <c r="M106" s="26"/>
      <c r="N106" s="40"/>
      <c r="O106" s="28">
        <f>Table16[[#This Row],[پیشکي]]-Table16[[#This Row],[د ۵۰ ٪ کرایی درکه]]</f>
        <v>0</v>
      </c>
    </row>
    <row r="107" spans="1:15">
      <c r="A107" s="41"/>
      <c r="B107" s="43"/>
      <c r="C107" s="26"/>
      <c r="D107" s="26"/>
      <c r="E107" s="26"/>
      <c r="F107" s="26"/>
      <c r="G107" s="26"/>
      <c r="H107" s="26"/>
      <c r="I107" s="26"/>
      <c r="J107" s="37"/>
      <c r="K107" s="26"/>
      <c r="L107" s="107"/>
      <c r="M107" s="26"/>
      <c r="N107" s="40"/>
      <c r="O107" s="28">
        <f>Table16[[#This Row],[پیشکي]]-Table16[[#This Row],[د ۵۰ ٪ کرایی درکه]]</f>
        <v>0</v>
      </c>
    </row>
    <row r="108" spans="1:15">
      <c r="A108" s="41"/>
      <c r="B108" s="43"/>
      <c r="C108" s="26"/>
      <c r="D108" s="26"/>
      <c r="E108" s="26"/>
      <c r="F108" s="26"/>
      <c r="G108" s="26"/>
      <c r="H108" s="26"/>
      <c r="I108" s="26"/>
      <c r="J108" s="37"/>
      <c r="K108" s="26"/>
      <c r="L108" s="107"/>
      <c r="M108" s="26"/>
      <c r="N108" s="40"/>
      <c r="O108" s="28">
        <f>Table16[[#This Row],[پیشکي]]-Table16[[#This Row],[د ۵۰ ٪ کرایی درکه]]</f>
        <v>0</v>
      </c>
    </row>
    <row r="109" spans="1:15">
      <c r="A109" s="41"/>
      <c r="B109" s="43"/>
      <c r="C109" s="26"/>
      <c r="D109" s="26"/>
      <c r="E109" s="26"/>
      <c r="F109" s="26"/>
      <c r="G109" s="26"/>
      <c r="H109" s="26"/>
      <c r="I109" s="26"/>
      <c r="J109" s="37"/>
      <c r="K109" s="26"/>
      <c r="L109" s="107"/>
      <c r="M109" s="26"/>
      <c r="N109" s="40"/>
      <c r="O109" s="28">
        <f>Table16[[#This Row],[پیشکي]]-Table16[[#This Row],[د ۵۰ ٪ کرایی درکه]]</f>
        <v>0</v>
      </c>
    </row>
    <row r="110" spans="1:15">
      <c r="A110" s="41"/>
      <c r="B110" s="43"/>
      <c r="C110" s="26"/>
      <c r="D110" s="26"/>
      <c r="E110" s="26"/>
      <c r="F110" s="26"/>
      <c r="G110" s="26"/>
      <c r="H110" s="26"/>
      <c r="I110" s="26"/>
      <c r="J110" s="37"/>
      <c r="K110" s="26"/>
      <c r="L110" s="107"/>
      <c r="M110" s="26"/>
      <c r="N110" s="40"/>
      <c r="O110" s="28">
        <f>Table16[[#This Row],[پیشکي]]-Table16[[#This Row],[د ۵۰ ٪ کرایی درکه]]</f>
        <v>0</v>
      </c>
    </row>
    <row r="111" spans="1:15">
      <c r="A111" s="41"/>
      <c r="B111" s="43"/>
      <c r="C111" s="26"/>
      <c r="D111" s="26"/>
      <c r="E111" s="26"/>
      <c r="F111" s="26"/>
      <c r="G111" s="26"/>
      <c r="H111" s="26"/>
      <c r="I111" s="26"/>
      <c r="J111" s="37"/>
      <c r="K111" s="26"/>
      <c r="L111" s="107"/>
      <c r="M111" s="26"/>
      <c r="N111" s="40"/>
      <c r="O111" s="28">
        <f>Table16[[#This Row],[پیشکي]]-Table16[[#This Row],[د ۵۰ ٪ کرایی درکه]]</f>
        <v>0</v>
      </c>
    </row>
    <row r="112" spans="1:15">
      <c r="A112" s="41"/>
      <c r="B112" s="43"/>
      <c r="C112" s="26"/>
      <c r="D112" s="26"/>
      <c r="E112" s="26"/>
      <c r="F112" s="26"/>
      <c r="G112" s="26"/>
      <c r="H112" s="26"/>
      <c r="I112" s="26"/>
      <c r="J112" s="37"/>
      <c r="K112" s="26"/>
      <c r="L112" s="107"/>
      <c r="M112" s="26"/>
      <c r="N112" s="40"/>
      <c r="O112" s="28">
        <f>Table16[[#This Row],[پیشکي]]-Table16[[#This Row],[د ۵۰ ٪ کرایی درکه]]</f>
        <v>0</v>
      </c>
    </row>
    <row r="113" spans="1:15">
      <c r="A113" s="41"/>
      <c r="B113" s="43"/>
      <c r="C113" s="26"/>
      <c r="D113" s="26"/>
      <c r="E113" s="26"/>
      <c r="F113" s="26"/>
      <c r="G113" s="26"/>
      <c r="H113" s="26"/>
      <c r="I113" s="26"/>
      <c r="J113" s="37"/>
      <c r="K113" s="26"/>
      <c r="L113" s="107"/>
      <c r="M113" s="26"/>
      <c r="N113" s="40"/>
      <c r="O113" s="28">
        <f>Table16[[#This Row],[پیشکي]]-Table16[[#This Row],[د ۵۰ ٪ کرایی درکه]]</f>
        <v>0</v>
      </c>
    </row>
    <row r="114" spans="1:15">
      <c r="A114" s="41"/>
      <c r="B114" s="43"/>
      <c r="C114" s="26"/>
      <c r="D114" s="26"/>
      <c r="E114" s="26"/>
      <c r="F114" s="26"/>
      <c r="G114" s="26"/>
      <c r="H114" s="26"/>
      <c r="I114" s="26"/>
      <c r="J114" s="37"/>
      <c r="K114" s="26"/>
      <c r="L114" s="107"/>
      <c r="M114" s="26"/>
      <c r="N114" s="40"/>
      <c r="O114" s="28">
        <f>Table16[[#This Row],[پیشکي]]-Table16[[#This Row],[د ۵۰ ٪ کرایی درکه]]</f>
        <v>0</v>
      </c>
    </row>
    <row r="115" spans="1:15">
      <c r="A115" s="41"/>
      <c r="B115" s="43"/>
      <c r="C115" s="26"/>
      <c r="D115" s="26"/>
      <c r="E115" s="26"/>
      <c r="F115" s="26"/>
      <c r="G115" s="26"/>
      <c r="H115" s="26"/>
      <c r="I115" s="26"/>
      <c r="J115" s="37"/>
      <c r="K115" s="26"/>
      <c r="L115" s="107"/>
      <c r="M115" s="26"/>
      <c r="N115" s="40"/>
      <c r="O115" s="28">
        <f>Table16[[#This Row],[پیشکي]]-Table16[[#This Row],[د ۵۰ ٪ کرایی درکه]]</f>
        <v>0</v>
      </c>
    </row>
    <row r="116" spans="1:15">
      <c r="A116" s="41"/>
      <c r="B116" s="43"/>
      <c r="C116" s="26"/>
      <c r="D116" s="26"/>
      <c r="E116" s="26"/>
      <c r="F116" s="26"/>
      <c r="G116" s="26"/>
      <c r="H116" s="26"/>
      <c r="I116" s="26"/>
      <c r="J116" s="37"/>
      <c r="K116" s="26"/>
      <c r="L116" s="107"/>
      <c r="M116" s="26"/>
      <c r="N116" s="40"/>
      <c r="O116" s="28">
        <f>Table16[[#This Row],[پیشکي]]-Table16[[#This Row],[د ۵۰ ٪ کرایی درکه]]</f>
        <v>0</v>
      </c>
    </row>
    <row r="117" spans="1:15">
      <c r="A117" s="41"/>
      <c r="B117" s="43"/>
      <c r="C117" s="26"/>
      <c r="D117" s="26"/>
      <c r="E117" s="26"/>
      <c r="F117" s="26"/>
      <c r="G117" s="26"/>
      <c r="H117" s="26"/>
      <c r="I117" s="26"/>
      <c r="J117" s="37"/>
      <c r="K117" s="26"/>
      <c r="L117" s="107"/>
      <c r="M117" s="26"/>
      <c r="N117" s="40"/>
      <c r="O117" s="28">
        <f>Table16[[#This Row],[پیشکي]]-Table16[[#This Row],[د ۵۰ ٪ کرایی درکه]]</f>
        <v>0</v>
      </c>
    </row>
    <row r="118" spans="1:15">
      <c r="A118" s="41"/>
      <c r="B118" s="43"/>
      <c r="C118" s="26"/>
      <c r="D118" s="26"/>
      <c r="E118" s="26"/>
      <c r="F118" s="26"/>
      <c r="G118" s="26"/>
      <c r="H118" s="26"/>
      <c r="I118" s="26"/>
      <c r="J118" s="37"/>
      <c r="K118" s="26"/>
      <c r="L118" s="107"/>
      <c r="M118" s="26"/>
      <c r="N118" s="40"/>
      <c r="O118" s="28">
        <f>Table16[[#This Row],[پیشکي]]-Table16[[#This Row],[د ۵۰ ٪ کرایی درکه]]</f>
        <v>0</v>
      </c>
    </row>
    <row r="119" spans="1:15">
      <c r="A119" s="41"/>
      <c r="B119" s="43"/>
      <c r="C119" s="26"/>
      <c r="D119" s="26"/>
      <c r="E119" s="26"/>
      <c r="F119" s="26"/>
      <c r="G119" s="26"/>
      <c r="H119" s="26"/>
      <c r="I119" s="26"/>
      <c r="J119" s="37"/>
      <c r="K119" s="26"/>
      <c r="L119" s="107"/>
      <c r="M119" s="26"/>
      <c r="N119" s="40"/>
      <c r="O119" s="28">
        <f>Table16[[#This Row],[پیشکي]]-Table16[[#This Row],[د ۵۰ ٪ کرایی درکه]]</f>
        <v>0</v>
      </c>
    </row>
    <row r="120" spans="1:15">
      <c r="A120" s="41"/>
      <c r="B120" s="43"/>
      <c r="C120" s="26"/>
      <c r="D120" s="26"/>
      <c r="E120" s="26"/>
      <c r="F120" s="26"/>
      <c r="G120" s="26"/>
      <c r="H120" s="26"/>
      <c r="I120" s="26"/>
      <c r="J120" s="37"/>
      <c r="K120" s="26"/>
      <c r="L120" s="107"/>
      <c r="M120" s="26"/>
      <c r="N120" s="40"/>
      <c r="O120" s="28">
        <f>Table16[[#This Row],[پیشکي]]-Table16[[#This Row],[د ۵۰ ٪ کرایی درکه]]</f>
        <v>0</v>
      </c>
    </row>
    <row r="121" spans="1:15">
      <c r="A121" s="41"/>
      <c r="B121" s="43"/>
      <c r="C121" s="26"/>
      <c r="D121" s="26"/>
      <c r="E121" s="26"/>
      <c r="F121" s="26"/>
      <c r="G121" s="26"/>
      <c r="H121" s="26"/>
      <c r="I121" s="26"/>
      <c r="J121" s="37"/>
      <c r="K121" s="26"/>
      <c r="L121" s="107"/>
      <c r="M121" s="26"/>
      <c r="N121" s="40"/>
      <c r="O121" s="28">
        <f>Table16[[#This Row],[پیشکي]]-Table16[[#This Row],[د ۵۰ ٪ کرایی درکه]]</f>
        <v>0</v>
      </c>
    </row>
    <row r="122" spans="1:15">
      <c r="A122" s="41"/>
      <c r="B122" s="43"/>
      <c r="C122" s="26"/>
      <c r="D122" s="26"/>
      <c r="E122" s="26"/>
      <c r="F122" s="26"/>
      <c r="G122" s="26"/>
      <c r="H122" s="26"/>
      <c r="I122" s="26"/>
      <c r="J122" s="37"/>
      <c r="K122" s="26"/>
      <c r="L122" s="107"/>
      <c r="M122" s="26"/>
      <c r="N122" s="40"/>
      <c r="O122" s="28">
        <f>Table16[[#This Row],[پیشکي]]-Table16[[#This Row],[د ۵۰ ٪ کرایی درکه]]</f>
        <v>0</v>
      </c>
    </row>
    <row r="123" spans="1:15">
      <c r="A123" s="41"/>
      <c r="B123" s="43"/>
      <c r="C123" s="26"/>
      <c r="D123" s="26"/>
      <c r="E123" s="26"/>
      <c r="F123" s="26"/>
      <c r="G123" s="26"/>
      <c r="H123" s="26"/>
      <c r="I123" s="26"/>
      <c r="J123" s="37"/>
      <c r="K123" s="26"/>
      <c r="L123" s="107"/>
      <c r="M123" s="26"/>
      <c r="N123" s="40"/>
      <c r="O123" s="28">
        <f>Table16[[#This Row],[پیشکي]]-Table16[[#This Row],[د ۵۰ ٪ کرایی درکه]]</f>
        <v>0</v>
      </c>
    </row>
    <row r="124" spans="1:15">
      <c r="A124" s="41"/>
      <c r="B124" s="43"/>
      <c r="C124" s="26"/>
      <c r="D124" s="26"/>
      <c r="E124" s="26"/>
      <c r="F124" s="26"/>
      <c r="G124" s="26"/>
      <c r="H124" s="26"/>
      <c r="I124" s="26"/>
      <c r="J124" s="37"/>
      <c r="K124" s="26"/>
      <c r="L124" s="107"/>
      <c r="M124" s="26"/>
      <c r="N124" s="40"/>
      <c r="O124" s="28">
        <f>Table16[[#This Row],[پیشکي]]-Table16[[#This Row],[د ۵۰ ٪ کرایی درکه]]</f>
        <v>0</v>
      </c>
    </row>
    <row r="125" spans="1:15">
      <c r="A125" s="41"/>
      <c r="B125" s="43"/>
      <c r="C125" s="26"/>
      <c r="D125" s="26"/>
      <c r="E125" s="26"/>
      <c r="F125" s="26"/>
      <c r="G125" s="26"/>
      <c r="H125" s="26"/>
      <c r="I125" s="26"/>
      <c r="J125" s="37"/>
      <c r="K125" s="26"/>
      <c r="L125" s="107"/>
      <c r="M125" s="26"/>
      <c r="N125" s="40"/>
      <c r="O125" s="28">
        <f>Table16[[#This Row],[پیشکي]]-Table16[[#This Row],[د ۵۰ ٪ کرایی درکه]]</f>
        <v>0</v>
      </c>
    </row>
    <row r="126" spans="1:15">
      <c r="A126" s="41"/>
      <c r="B126" s="43"/>
      <c r="C126" s="26"/>
      <c r="D126" s="26"/>
      <c r="E126" s="26"/>
      <c r="F126" s="26"/>
      <c r="G126" s="26"/>
      <c r="H126" s="26"/>
      <c r="I126" s="26"/>
      <c r="J126" s="37"/>
      <c r="K126" s="26"/>
      <c r="L126" s="107"/>
      <c r="M126" s="26"/>
      <c r="N126" s="40"/>
      <c r="O126" s="28">
        <f>Table16[[#This Row],[پیشکي]]-Table16[[#This Row],[د ۵۰ ٪ کرایی درکه]]</f>
        <v>0</v>
      </c>
    </row>
    <row r="127" spans="1:15">
      <c r="A127" s="41"/>
      <c r="B127" s="43"/>
      <c r="C127" s="26"/>
      <c r="D127" s="26"/>
      <c r="E127" s="26"/>
      <c r="F127" s="26"/>
      <c r="G127" s="26"/>
      <c r="H127" s="26"/>
      <c r="I127" s="26"/>
      <c r="J127" s="37"/>
      <c r="K127" s="26"/>
      <c r="L127" s="107"/>
      <c r="M127" s="26"/>
      <c r="N127" s="40"/>
      <c r="O127" s="28">
        <f>Table16[[#This Row],[پیشکي]]-Table16[[#This Row],[د ۵۰ ٪ کرایی درکه]]</f>
        <v>0</v>
      </c>
    </row>
    <row r="128" spans="1:15">
      <c r="A128" s="41"/>
      <c r="B128" s="43"/>
      <c r="C128" s="26"/>
      <c r="D128" s="26"/>
      <c r="E128" s="26"/>
      <c r="F128" s="26"/>
      <c r="G128" s="26"/>
      <c r="H128" s="26"/>
      <c r="I128" s="26"/>
      <c r="J128" s="37"/>
      <c r="K128" s="26"/>
      <c r="L128" s="107"/>
      <c r="M128" s="26"/>
      <c r="N128" s="40"/>
      <c r="O128" s="28">
        <f>Table16[[#This Row],[پیشکي]]-Table16[[#This Row],[د ۵۰ ٪ کرایی درکه]]</f>
        <v>0</v>
      </c>
    </row>
    <row r="129" spans="1:15">
      <c r="A129" s="41"/>
      <c r="B129" s="43"/>
      <c r="C129" s="26"/>
      <c r="D129" s="26"/>
      <c r="E129" s="26"/>
      <c r="F129" s="26"/>
      <c r="G129" s="26"/>
      <c r="H129" s="26"/>
      <c r="I129" s="26"/>
      <c r="J129" s="37"/>
      <c r="K129" s="26"/>
      <c r="L129" s="107"/>
      <c r="M129" s="26"/>
      <c r="N129" s="40"/>
      <c r="O129" s="28">
        <f>Table16[[#This Row],[پیشکي]]-Table16[[#This Row],[د ۵۰ ٪ کرایی درکه]]</f>
        <v>0</v>
      </c>
    </row>
    <row r="130" spans="1:15">
      <c r="A130" s="41"/>
      <c r="B130" s="43"/>
      <c r="C130" s="26"/>
      <c r="D130" s="26"/>
      <c r="E130" s="26"/>
      <c r="F130" s="26"/>
      <c r="G130" s="26"/>
      <c r="H130" s="26"/>
      <c r="I130" s="26"/>
      <c r="J130" s="37"/>
      <c r="K130" s="26"/>
      <c r="L130" s="107"/>
      <c r="M130" s="26"/>
      <c r="N130" s="40"/>
      <c r="O130" s="28">
        <f>Table16[[#This Row],[پیشکي]]-Table16[[#This Row],[د ۵۰ ٪ کرایی درکه]]</f>
        <v>0</v>
      </c>
    </row>
    <row r="131" spans="1:15">
      <c r="A131" s="41"/>
      <c r="B131" s="43"/>
      <c r="C131" s="26"/>
      <c r="D131" s="26"/>
      <c r="E131" s="26"/>
      <c r="F131" s="26"/>
      <c r="G131" s="26"/>
      <c r="H131" s="26"/>
      <c r="I131" s="26"/>
      <c r="J131" s="37"/>
      <c r="K131" s="26"/>
      <c r="L131" s="107"/>
      <c r="M131" s="26"/>
      <c r="N131" s="40"/>
      <c r="O131" s="28">
        <f>Table16[[#This Row],[پیشکي]]-Table16[[#This Row],[د ۵۰ ٪ کرایی درکه]]</f>
        <v>0</v>
      </c>
    </row>
    <row r="132" spans="1:15">
      <c r="A132" s="41"/>
      <c r="B132" s="43"/>
      <c r="C132" s="26"/>
      <c r="D132" s="26"/>
      <c r="E132" s="26"/>
      <c r="F132" s="26"/>
      <c r="G132" s="26"/>
      <c r="H132" s="26"/>
      <c r="I132" s="26"/>
      <c r="J132" s="37"/>
      <c r="K132" s="26"/>
      <c r="L132" s="107"/>
      <c r="M132" s="26"/>
      <c r="N132" s="40"/>
      <c r="O132" s="28">
        <f>Table16[[#This Row],[پیشکي]]-Table16[[#This Row],[د ۵۰ ٪ کرایی درکه]]</f>
        <v>0</v>
      </c>
    </row>
    <row r="133" spans="1:15">
      <c r="A133" s="41"/>
      <c r="B133" s="43"/>
      <c r="C133" s="26"/>
      <c r="D133" s="26"/>
      <c r="E133" s="26"/>
      <c r="F133" s="26"/>
      <c r="G133" s="26"/>
      <c r="H133" s="26"/>
      <c r="I133" s="26"/>
      <c r="J133" s="37"/>
      <c r="K133" s="26"/>
      <c r="L133" s="107"/>
      <c r="M133" s="26"/>
      <c r="N133" s="40"/>
      <c r="O133" s="28">
        <f>Table16[[#This Row],[پیشکي]]-Table16[[#This Row],[د ۵۰ ٪ کرایی درکه]]</f>
        <v>0</v>
      </c>
    </row>
    <row r="134" spans="1:15">
      <c r="A134" s="41"/>
      <c r="B134" s="43"/>
      <c r="C134" s="26"/>
      <c r="D134" s="26"/>
      <c r="E134" s="26"/>
      <c r="F134" s="26"/>
      <c r="G134" s="26"/>
      <c r="H134" s="26"/>
      <c r="I134" s="26"/>
      <c r="J134" s="37"/>
      <c r="K134" s="26"/>
      <c r="L134" s="107"/>
      <c r="M134" s="26"/>
      <c r="N134" s="40"/>
      <c r="O134" s="28">
        <f>Table16[[#This Row],[پیشکي]]-Table16[[#This Row],[د ۵۰ ٪ کرایی درکه]]</f>
        <v>0</v>
      </c>
    </row>
    <row r="135" spans="1:15">
      <c r="A135" s="41"/>
      <c r="B135" s="43"/>
      <c r="C135" s="26"/>
      <c r="D135" s="26"/>
      <c r="E135" s="26"/>
      <c r="F135" s="26"/>
      <c r="G135" s="26"/>
      <c r="H135" s="26"/>
      <c r="I135" s="26"/>
      <c r="J135" s="37"/>
      <c r="K135" s="26"/>
      <c r="L135" s="107"/>
      <c r="M135" s="26"/>
      <c r="N135" s="40"/>
      <c r="O135" s="28">
        <f>Table16[[#This Row],[پیشکي]]-Table16[[#This Row],[د ۵۰ ٪ کرایی درکه]]</f>
        <v>0</v>
      </c>
    </row>
    <row r="136" spans="1:15">
      <c r="A136" s="41"/>
      <c r="B136" s="43"/>
      <c r="C136" s="26"/>
      <c r="D136" s="26"/>
      <c r="E136" s="26"/>
      <c r="F136" s="26"/>
      <c r="G136" s="26"/>
      <c r="H136" s="26"/>
      <c r="I136" s="26"/>
      <c r="J136" s="37"/>
      <c r="K136" s="26"/>
      <c r="L136" s="107"/>
      <c r="M136" s="26"/>
      <c r="N136" s="40"/>
      <c r="O136" s="28">
        <f>Table16[[#This Row],[پیشکي]]-Table16[[#This Row],[د ۵۰ ٪ کرایی درکه]]</f>
        <v>0</v>
      </c>
    </row>
    <row r="137" spans="1:15">
      <c r="A137" s="41"/>
      <c r="B137" s="43"/>
      <c r="C137" s="26"/>
      <c r="D137" s="26"/>
      <c r="E137" s="26"/>
      <c r="F137" s="26"/>
      <c r="G137" s="26"/>
      <c r="H137" s="26"/>
      <c r="I137" s="26"/>
      <c r="J137" s="37"/>
      <c r="K137" s="26"/>
      <c r="L137" s="107"/>
      <c r="M137" s="26"/>
      <c r="N137" s="40"/>
      <c r="O137" s="28">
        <f>Table16[[#This Row],[پیشکي]]-Table16[[#This Row],[د ۵۰ ٪ کرایی درکه]]</f>
        <v>0</v>
      </c>
    </row>
    <row r="138" spans="1:15">
      <c r="A138" s="41"/>
      <c r="B138" s="43"/>
      <c r="C138" s="26"/>
      <c r="D138" s="26"/>
      <c r="E138" s="26"/>
      <c r="F138" s="26"/>
      <c r="G138" s="26"/>
      <c r="H138" s="26"/>
      <c r="I138" s="26"/>
      <c r="J138" s="37"/>
      <c r="K138" s="26"/>
      <c r="L138" s="107"/>
      <c r="M138" s="26"/>
      <c r="N138" s="40"/>
      <c r="O138" s="28">
        <f>Table16[[#This Row],[پیشکي]]-Table16[[#This Row],[د ۵۰ ٪ کرایی درکه]]</f>
        <v>0</v>
      </c>
    </row>
    <row r="139" spans="1:15">
      <c r="A139" s="41"/>
      <c r="B139" s="43"/>
      <c r="C139" s="26"/>
      <c r="D139" s="26"/>
      <c r="E139" s="26"/>
      <c r="F139" s="26"/>
      <c r="G139" s="26"/>
      <c r="H139" s="26"/>
      <c r="I139" s="26"/>
      <c r="J139" s="37"/>
      <c r="K139" s="26"/>
      <c r="L139" s="107"/>
      <c r="M139" s="26"/>
      <c r="N139" s="40"/>
      <c r="O139" s="28">
        <f>Table16[[#This Row],[پیشکي]]-Table16[[#This Row],[د ۵۰ ٪ کرایی درکه]]</f>
        <v>0</v>
      </c>
    </row>
    <row r="140" spans="1:15">
      <c r="A140" s="41"/>
      <c r="B140" s="43"/>
      <c r="C140" s="26"/>
      <c r="D140" s="26"/>
      <c r="E140" s="26"/>
      <c r="F140" s="26"/>
      <c r="G140" s="26"/>
      <c r="H140" s="26"/>
      <c r="I140" s="26"/>
      <c r="J140" s="37"/>
      <c r="K140" s="26"/>
      <c r="L140" s="107"/>
      <c r="M140" s="26"/>
      <c r="N140" s="40"/>
      <c r="O140" s="28">
        <f>Table16[[#This Row],[پیشکي]]-Table16[[#This Row],[د ۵۰ ٪ کرایی درکه]]</f>
        <v>0</v>
      </c>
    </row>
    <row r="141" spans="1:15">
      <c r="A141" s="41"/>
      <c r="B141" s="43"/>
      <c r="C141" s="26"/>
      <c r="D141" s="26"/>
      <c r="E141" s="26"/>
      <c r="F141" s="26"/>
      <c r="G141" s="26"/>
      <c r="H141" s="26"/>
      <c r="I141" s="26"/>
      <c r="J141" s="37"/>
      <c r="K141" s="26"/>
      <c r="L141" s="107"/>
      <c r="M141" s="26"/>
      <c r="N141" s="40"/>
      <c r="O141" s="28">
        <f>Table16[[#This Row],[پیشکي]]-Table16[[#This Row],[د ۵۰ ٪ کرایی درکه]]</f>
        <v>0</v>
      </c>
    </row>
    <row r="142" spans="1:15">
      <c r="A142" s="41"/>
      <c r="B142" s="43"/>
      <c r="C142" s="26"/>
      <c r="D142" s="26"/>
      <c r="E142" s="26"/>
      <c r="F142" s="26"/>
      <c r="G142" s="26"/>
      <c r="H142" s="26"/>
      <c r="I142" s="26"/>
      <c r="J142" s="37"/>
      <c r="K142" s="26"/>
      <c r="L142" s="107"/>
      <c r="M142" s="26"/>
      <c r="N142" s="40"/>
      <c r="O142" s="28">
        <f>Table16[[#This Row],[پیشکي]]-Table16[[#This Row],[د ۵۰ ٪ کرایی درکه]]</f>
        <v>0</v>
      </c>
    </row>
    <row r="143" spans="1:15">
      <c r="A143" s="41"/>
      <c r="B143" s="43"/>
      <c r="C143" s="26"/>
      <c r="D143" s="26"/>
      <c r="E143" s="26"/>
      <c r="F143" s="26"/>
      <c r="G143" s="26"/>
      <c r="H143" s="26"/>
      <c r="I143" s="26"/>
      <c r="J143" s="37"/>
      <c r="K143" s="26"/>
      <c r="L143" s="107"/>
      <c r="M143" s="26"/>
      <c r="N143" s="40"/>
      <c r="O143" s="28">
        <f>Table16[[#This Row],[پیشکي]]-Table16[[#This Row],[د ۵۰ ٪ کرایی درکه]]</f>
        <v>0</v>
      </c>
    </row>
    <row r="144" spans="1:15">
      <c r="A144" s="41"/>
      <c r="B144" s="43"/>
      <c r="C144" s="26"/>
      <c r="D144" s="26"/>
      <c r="E144" s="26"/>
      <c r="F144" s="26"/>
      <c r="G144" s="26"/>
      <c r="H144" s="26"/>
      <c r="I144" s="26"/>
      <c r="J144" s="37"/>
      <c r="K144" s="26"/>
      <c r="L144" s="107"/>
      <c r="M144" s="26"/>
      <c r="N144" s="40"/>
      <c r="O144" s="28">
        <f>Table16[[#This Row],[پیشکي]]-Table16[[#This Row],[د ۵۰ ٪ کرایی درکه]]</f>
        <v>0</v>
      </c>
    </row>
    <row r="145" spans="1:15">
      <c r="A145" s="41"/>
      <c r="B145" s="43"/>
      <c r="C145" s="26"/>
      <c r="D145" s="26"/>
      <c r="E145" s="26"/>
      <c r="F145" s="26"/>
      <c r="G145" s="26"/>
      <c r="H145" s="26"/>
      <c r="I145" s="26"/>
      <c r="J145" s="37"/>
      <c r="K145" s="26"/>
      <c r="L145" s="107"/>
      <c r="M145" s="26"/>
      <c r="N145" s="40"/>
      <c r="O145" s="28">
        <f>Table16[[#This Row],[پیشکي]]-Table16[[#This Row],[د ۵۰ ٪ کرایی درکه]]</f>
        <v>0</v>
      </c>
    </row>
    <row r="146" spans="1:15">
      <c r="A146" s="41"/>
      <c r="B146" s="43"/>
      <c r="C146" s="26"/>
      <c r="D146" s="26"/>
      <c r="E146" s="26"/>
      <c r="F146" s="26"/>
      <c r="G146" s="26"/>
      <c r="H146" s="26"/>
      <c r="I146" s="26"/>
      <c r="J146" s="37"/>
      <c r="K146" s="26"/>
      <c r="L146" s="107"/>
      <c r="M146" s="26"/>
      <c r="N146" s="40"/>
      <c r="O146" s="28">
        <f>Table16[[#This Row],[پیشکي]]-Table16[[#This Row],[د ۵۰ ٪ کرایی درکه]]</f>
        <v>0</v>
      </c>
    </row>
    <row r="147" spans="1:15">
      <c r="A147" s="41"/>
      <c r="B147" s="43"/>
      <c r="C147" s="26"/>
      <c r="D147" s="26"/>
      <c r="E147" s="26"/>
      <c r="F147" s="26"/>
      <c r="G147" s="26"/>
      <c r="H147" s="26"/>
      <c r="I147" s="26"/>
      <c r="J147" s="37"/>
      <c r="K147" s="26"/>
      <c r="L147" s="107"/>
      <c r="M147" s="26"/>
      <c r="N147" s="40"/>
      <c r="O147" s="28">
        <f>Table16[[#This Row],[پیشکي]]-Table16[[#This Row],[د ۵۰ ٪ کرایی درکه]]</f>
        <v>0</v>
      </c>
    </row>
    <row r="148" spans="1:15">
      <c r="A148" s="41"/>
      <c r="B148" s="43"/>
      <c r="C148" s="26"/>
      <c r="D148" s="26"/>
      <c r="E148" s="26"/>
      <c r="F148" s="26"/>
      <c r="G148" s="26"/>
      <c r="H148" s="26"/>
      <c r="I148" s="26"/>
      <c r="J148" s="37"/>
      <c r="K148" s="26"/>
      <c r="L148" s="107"/>
      <c r="M148" s="26"/>
      <c r="N148" s="40"/>
      <c r="O148" s="28">
        <f>Table16[[#This Row],[پیشکي]]-Table16[[#This Row],[د ۵۰ ٪ کرایی درکه]]</f>
        <v>0</v>
      </c>
    </row>
    <row r="149" spans="1:15">
      <c r="A149" s="41"/>
      <c r="B149" s="43"/>
      <c r="C149" s="26"/>
      <c r="D149" s="26"/>
      <c r="E149" s="26"/>
      <c r="F149" s="26"/>
      <c r="G149" s="26"/>
      <c r="H149" s="26"/>
      <c r="I149" s="26"/>
      <c r="J149" s="37"/>
      <c r="K149" s="26"/>
      <c r="L149" s="107"/>
      <c r="M149" s="26"/>
      <c r="N149" s="40"/>
      <c r="O149" s="28">
        <f>Table16[[#This Row],[پیشکي]]-Table16[[#This Row],[د ۵۰ ٪ کرایی درکه]]</f>
        <v>0</v>
      </c>
    </row>
    <row r="150" spans="1:15">
      <c r="A150" s="41"/>
      <c r="B150" s="43"/>
      <c r="C150" s="26"/>
      <c r="D150" s="26"/>
      <c r="E150" s="26"/>
      <c r="F150" s="26"/>
      <c r="G150" s="26"/>
      <c r="H150" s="26"/>
      <c r="I150" s="26"/>
      <c r="J150" s="37"/>
      <c r="K150" s="26"/>
      <c r="L150" s="107"/>
      <c r="M150" s="26"/>
      <c r="N150" s="40"/>
      <c r="O150" s="28">
        <f>Table16[[#This Row],[پیشکي]]-Table16[[#This Row],[د ۵۰ ٪ کرایی درکه]]</f>
        <v>0</v>
      </c>
    </row>
    <row r="151" spans="1:15">
      <c r="A151" s="41"/>
      <c r="B151" s="43"/>
      <c r="C151" s="26"/>
      <c r="D151" s="26"/>
      <c r="E151" s="26"/>
      <c r="F151" s="26"/>
      <c r="G151" s="26"/>
      <c r="H151" s="26"/>
      <c r="I151" s="26"/>
      <c r="J151" s="37"/>
      <c r="K151" s="26"/>
      <c r="L151" s="107"/>
      <c r="M151" s="26"/>
      <c r="N151" s="40"/>
      <c r="O151" s="28">
        <f>Table16[[#This Row],[پیشکي]]-Table16[[#This Row],[د ۵۰ ٪ کرایی درکه]]</f>
        <v>0</v>
      </c>
    </row>
    <row r="152" spans="1:15">
      <c r="A152" s="41"/>
      <c r="B152" s="43"/>
      <c r="C152" s="26"/>
      <c r="D152" s="26"/>
      <c r="E152" s="26"/>
      <c r="F152" s="26"/>
      <c r="G152" s="26"/>
      <c r="H152" s="26"/>
      <c r="I152" s="26"/>
      <c r="J152" s="37"/>
      <c r="K152" s="26"/>
      <c r="L152" s="107"/>
      <c r="M152" s="26"/>
      <c r="N152" s="40"/>
      <c r="O152" s="28">
        <f>Table16[[#This Row],[پیشکي]]-Table16[[#This Row],[د ۵۰ ٪ کرایی درکه]]</f>
        <v>0</v>
      </c>
    </row>
    <row r="153" spans="1:15">
      <c r="A153" s="41"/>
      <c r="B153" s="43"/>
      <c r="C153" s="26"/>
      <c r="D153" s="26"/>
      <c r="E153" s="26"/>
      <c r="F153" s="26"/>
      <c r="G153" s="26"/>
      <c r="H153" s="26"/>
      <c r="I153" s="26"/>
      <c r="J153" s="37"/>
      <c r="K153" s="26"/>
      <c r="L153" s="107"/>
      <c r="M153" s="26"/>
      <c r="N153" s="40"/>
      <c r="O153" s="28">
        <f>Table16[[#This Row],[پیشکي]]-Table16[[#This Row],[د ۵۰ ٪ کرایی درکه]]</f>
        <v>0</v>
      </c>
    </row>
    <row r="154" spans="1:15">
      <c r="A154" s="41"/>
      <c r="B154" s="43"/>
      <c r="C154" s="26"/>
      <c r="D154" s="26"/>
      <c r="E154" s="26"/>
      <c r="F154" s="26"/>
      <c r="G154" s="26"/>
      <c r="H154" s="26"/>
      <c r="I154" s="26"/>
      <c r="J154" s="37"/>
      <c r="K154" s="26"/>
      <c r="L154" s="107"/>
      <c r="M154" s="26"/>
      <c r="N154" s="40"/>
      <c r="O154" s="28">
        <f>Table16[[#This Row],[پیشکي]]-Table16[[#This Row],[د ۵۰ ٪ کرایی درکه]]</f>
        <v>0</v>
      </c>
    </row>
    <row r="155" spans="1:15">
      <c r="A155" s="41"/>
      <c r="B155" s="43"/>
      <c r="C155" s="26"/>
      <c r="D155" s="26"/>
      <c r="E155" s="26"/>
      <c r="F155" s="26"/>
      <c r="G155" s="26"/>
      <c r="H155" s="26"/>
      <c r="I155" s="26"/>
      <c r="J155" s="37"/>
      <c r="K155" s="26"/>
      <c r="L155" s="107"/>
      <c r="M155" s="26"/>
      <c r="N155" s="40"/>
      <c r="O155" s="28">
        <f>Table16[[#This Row],[پیشکي]]-Table16[[#This Row],[د ۵۰ ٪ کرایی درکه]]</f>
        <v>0</v>
      </c>
    </row>
    <row r="156" spans="1:15">
      <c r="A156" s="41"/>
      <c r="B156" s="43"/>
      <c r="C156" s="26"/>
      <c r="D156" s="26"/>
      <c r="E156" s="26"/>
      <c r="F156" s="26"/>
      <c r="G156" s="26"/>
      <c r="H156" s="26"/>
      <c r="I156" s="26"/>
      <c r="J156" s="37"/>
      <c r="K156" s="26"/>
      <c r="L156" s="107"/>
      <c r="M156" s="26"/>
      <c r="N156" s="40"/>
      <c r="O156" s="28">
        <f>Table16[[#This Row],[پیشکي]]-Table16[[#This Row],[د ۵۰ ٪ کرایی درکه]]</f>
        <v>0</v>
      </c>
    </row>
    <row r="157" spans="1:15">
      <c r="A157" s="41"/>
      <c r="B157" s="43"/>
      <c r="C157" s="26"/>
      <c r="D157" s="26"/>
      <c r="E157" s="26"/>
      <c r="F157" s="26"/>
      <c r="G157" s="26"/>
      <c r="H157" s="26"/>
      <c r="I157" s="26"/>
      <c r="J157" s="37"/>
      <c r="K157" s="26"/>
      <c r="L157" s="107"/>
      <c r="M157" s="26"/>
      <c r="N157" s="40"/>
      <c r="O157" s="28">
        <f>Table16[[#This Row],[پیشکي]]-Table16[[#This Row],[د ۵۰ ٪ کرایی درکه]]</f>
        <v>0</v>
      </c>
    </row>
    <row r="158" spans="1:15">
      <c r="A158" s="41"/>
      <c r="B158" s="43"/>
      <c r="C158" s="26"/>
      <c r="D158" s="26"/>
      <c r="E158" s="26"/>
      <c r="F158" s="26"/>
      <c r="G158" s="26"/>
      <c r="H158" s="26"/>
      <c r="I158" s="26"/>
      <c r="J158" s="37"/>
      <c r="K158" s="26"/>
      <c r="L158" s="107"/>
      <c r="M158" s="26"/>
      <c r="N158" s="40"/>
      <c r="O158" s="28">
        <f>Table16[[#This Row],[پیشکي]]-Table16[[#This Row],[د ۵۰ ٪ کرایی درکه]]</f>
        <v>0</v>
      </c>
    </row>
    <row r="159" spans="1:15">
      <c r="A159" s="41"/>
      <c r="B159" s="43"/>
      <c r="C159" s="26"/>
      <c r="D159" s="26"/>
      <c r="E159" s="26"/>
      <c r="F159" s="26"/>
      <c r="G159" s="26"/>
      <c r="H159" s="26"/>
      <c r="I159" s="26"/>
      <c r="J159" s="37"/>
      <c r="K159" s="26"/>
      <c r="L159" s="107"/>
      <c r="M159" s="26"/>
      <c r="N159" s="40"/>
      <c r="O159" s="28">
        <f>Table16[[#This Row],[پیشکي]]-Table16[[#This Row],[د ۵۰ ٪ کرایی درکه]]</f>
        <v>0</v>
      </c>
    </row>
    <row r="160" spans="1:15">
      <c r="A160" s="41"/>
      <c r="B160" s="43"/>
      <c r="C160" s="26"/>
      <c r="D160" s="26"/>
      <c r="E160" s="26"/>
      <c r="F160" s="26"/>
      <c r="G160" s="26"/>
      <c r="H160" s="26"/>
      <c r="I160" s="26"/>
      <c r="J160" s="37"/>
      <c r="K160" s="26"/>
      <c r="L160" s="107"/>
      <c r="M160" s="26"/>
      <c r="N160" s="40"/>
      <c r="O160" s="28">
        <f>Table16[[#This Row],[پیشکي]]-Table16[[#This Row],[د ۵۰ ٪ کرایی درکه]]</f>
        <v>0</v>
      </c>
    </row>
    <row r="161" spans="1:15">
      <c r="A161" s="41"/>
      <c r="B161" s="43"/>
      <c r="C161" s="26"/>
      <c r="D161" s="26"/>
      <c r="E161" s="26"/>
      <c r="F161" s="26"/>
      <c r="G161" s="26"/>
      <c r="H161" s="26"/>
      <c r="I161" s="26"/>
      <c r="J161" s="37"/>
      <c r="K161" s="26"/>
      <c r="L161" s="107"/>
      <c r="M161" s="26"/>
      <c r="N161" s="40"/>
      <c r="O161" s="28">
        <f>Table16[[#This Row],[پیشکي]]-Table16[[#This Row],[د ۵۰ ٪ کرایی درکه]]</f>
        <v>0</v>
      </c>
    </row>
    <row r="162" spans="1:15">
      <c r="A162" s="41"/>
      <c r="B162" s="43"/>
      <c r="C162" s="26"/>
      <c r="D162" s="26"/>
      <c r="E162" s="26"/>
      <c r="F162" s="26"/>
      <c r="G162" s="26"/>
      <c r="H162" s="26"/>
      <c r="I162" s="26"/>
      <c r="J162" s="37"/>
      <c r="K162" s="26"/>
      <c r="L162" s="107"/>
      <c r="M162" s="26"/>
      <c r="N162" s="40"/>
      <c r="O162" s="28">
        <f>Table16[[#This Row],[پیشکي]]-Table16[[#This Row],[د ۵۰ ٪ کرایی درکه]]</f>
        <v>0</v>
      </c>
    </row>
    <row r="163" spans="1:15">
      <c r="A163" s="41"/>
      <c r="B163" s="43"/>
      <c r="C163" s="26"/>
      <c r="D163" s="26"/>
      <c r="E163" s="26"/>
      <c r="F163" s="26"/>
      <c r="G163" s="26"/>
      <c r="H163" s="26"/>
      <c r="I163" s="26"/>
      <c r="J163" s="37"/>
      <c r="K163" s="26"/>
      <c r="L163" s="107"/>
      <c r="M163" s="26"/>
      <c r="N163" s="40"/>
      <c r="O163" s="28">
        <f>Table16[[#This Row],[پیشکي]]-Table16[[#This Row],[د ۵۰ ٪ کرایی درکه]]</f>
        <v>0</v>
      </c>
    </row>
    <row r="164" spans="1:15">
      <c r="A164" s="41"/>
      <c r="B164" s="43"/>
      <c r="C164" s="26"/>
      <c r="D164" s="26"/>
      <c r="E164" s="26"/>
      <c r="F164" s="26"/>
      <c r="G164" s="26"/>
      <c r="H164" s="26"/>
      <c r="I164" s="26"/>
      <c r="J164" s="37"/>
      <c r="K164" s="26"/>
      <c r="L164" s="107"/>
      <c r="M164" s="26"/>
      <c r="N164" s="40"/>
      <c r="O164" s="28">
        <f>Table16[[#This Row],[پیشکي]]-Table16[[#This Row],[د ۵۰ ٪ کرایی درکه]]</f>
        <v>0</v>
      </c>
    </row>
    <row r="165" spans="1:15">
      <c r="A165" s="41"/>
      <c r="B165" s="43"/>
      <c r="C165" s="26"/>
      <c r="D165" s="26"/>
      <c r="E165" s="26"/>
      <c r="F165" s="26"/>
      <c r="G165" s="26"/>
      <c r="H165" s="26"/>
      <c r="I165" s="26"/>
      <c r="J165" s="37"/>
      <c r="K165" s="26"/>
      <c r="L165" s="107"/>
      <c r="M165" s="26"/>
      <c r="N165" s="40"/>
      <c r="O165" s="28">
        <f>Table16[[#This Row],[پیشکي]]-Table16[[#This Row],[د ۵۰ ٪ کرایی درکه]]</f>
        <v>0</v>
      </c>
    </row>
    <row r="166" spans="1:15">
      <c r="A166" s="41"/>
      <c r="B166" s="43"/>
      <c r="C166" s="26"/>
      <c r="D166" s="26"/>
      <c r="E166" s="26"/>
      <c r="F166" s="26"/>
      <c r="G166" s="26"/>
      <c r="H166" s="26"/>
      <c r="I166" s="26"/>
      <c r="J166" s="37"/>
      <c r="K166" s="26"/>
      <c r="L166" s="107"/>
      <c r="M166" s="26"/>
      <c r="N166" s="40"/>
      <c r="O166" s="28">
        <f>Table16[[#This Row],[پیشکي]]-Table16[[#This Row],[د ۵۰ ٪ کرایی درکه]]</f>
        <v>0</v>
      </c>
    </row>
    <row r="167" spans="1:15">
      <c r="A167" s="41"/>
      <c r="B167" s="43"/>
      <c r="C167" s="26"/>
      <c r="D167" s="26"/>
      <c r="E167" s="26"/>
      <c r="F167" s="26"/>
      <c r="G167" s="26"/>
      <c r="H167" s="26"/>
      <c r="I167" s="26"/>
      <c r="J167" s="37"/>
      <c r="K167" s="26"/>
      <c r="L167" s="107"/>
      <c r="M167" s="26"/>
      <c r="N167" s="40"/>
      <c r="O167" s="28">
        <f>Table16[[#This Row],[پیشکي]]-Table16[[#This Row],[د ۵۰ ٪ کرایی درکه]]</f>
        <v>0</v>
      </c>
    </row>
    <row r="168" spans="1:15">
      <c r="A168" s="41"/>
      <c r="B168" s="43"/>
      <c r="C168" s="26"/>
      <c r="D168" s="26"/>
      <c r="E168" s="26"/>
      <c r="F168" s="26"/>
      <c r="G168" s="26"/>
      <c r="H168" s="26"/>
      <c r="I168" s="26"/>
      <c r="J168" s="37"/>
      <c r="K168" s="26"/>
      <c r="L168" s="107"/>
      <c r="M168" s="26"/>
      <c r="N168" s="40"/>
      <c r="O168" s="28">
        <f>Table16[[#This Row],[پیشکي]]-Table16[[#This Row],[د ۵۰ ٪ کرایی درکه]]</f>
        <v>0</v>
      </c>
    </row>
    <row r="169" spans="1:15">
      <c r="A169" s="41"/>
      <c r="B169" s="43"/>
      <c r="C169" s="26"/>
      <c r="D169" s="26"/>
      <c r="E169" s="26"/>
      <c r="F169" s="26"/>
      <c r="G169" s="26"/>
      <c r="H169" s="26"/>
      <c r="I169" s="26"/>
      <c r="J169" s="37"/>
      <c r="K169" s="26"/>
      <c r="L169" s="107"/>
      <c r="M169" s="26"/>
      <c r="N169" s="40"/>
      <c r="O169" s="28">
        <f>Table16[[#This Row],[پیشکي]]-Table16[[#This Row],[د ۵۰ ٪ کرایی درکه]]</f>
        <v>0</v>
      </c>
    </row>
    <row r="170" spans="1:15">
      <c r="A170" s="41"/>
      <c r="B170" s="43"/>
      <c r="C170" s="26"/>
      <c r="D170" s="26"/>
      <c r="E170" s="26"/>
      <c r="F170" s="26"/>
      <c r="G170" s="26"/>
      <c r="H170" s="26"/>
      <c r="I170" s="26"/>
      <c r="J170" s="37"/>
      <c r="K170" s="26"/>
      <c r="L170" s="107"/>
      <c r="M170" s="26"/>
      <c r="N170" s="40"/>
      <c r="O170" s="28">
        <f>Table16[[#This Row],[پیشکي]]-Table16[[#This Row],[د ۵۰ ٪ کرایی درکه]]</f>
        <v>0</v>
      </c>
    </row>
    <row r="171" spans="1:15">
      <c r="A171" s="41"/>
      <c r="B171" s="43"/>
      <c r="C171" s="26"/>
      <c r="D171" s="26"/>
      <c r="E171" s="26"/>
      <c r="F171" s="26"/>
      <c r="G171" s="26"/>
      <c r="H171" s="26"/>
      <c r="I171" s="26"/>
      <c r="J171" s="37"/>
      <c r="K171" s="26"/>
      <c r="L171" s="107"/>
      <c r="M171" s="26"/>
      <c r="N171" s="40"/>
      <c r="O171" s="28">
        <f>Table16[[#This Row],[پیشکي]]-Table16[[#This Row],[د ۵۰ ٪ کرایی درکه]]</f>
        <v>0</v>
      </c>
    </row>
    <row r="172" spans="1:15">
      <c r="A172" s="41"/>
      <c r="B172" s="43"/>
      <c r="C172" s="26"/>
      <c r="D172" s="26"/>
      <c r="E172" s="26"/>
      <c r="F172" s="26"/>
      <c r="G172" s="26"/>
      <c r="H172" s="26"/>
      <c r="I172" s="26"/>
      <c r="J172" s="37"/>
      <c r="K172" s="26"/>
      <c r="L172" s="107"/>
      <c r="M172" s="26"/>
      <c r="N172" s="40"/>
      <c r="O172" s="28">
        <f>Table16[[#This Row],[پیشکي]]-Table16[[#This Row],[د ۵۰ ٪ کرایی درکه]]</f>
        <v>0</v>
      </c>
    </row>
    <row r="173" spans="1:15">
      <c r="A173" s="41"/>
      <c r="B173" s="43"/>
      <c r="C173" s="26"/>
      <c r="D173" s="26"/>
      <c r="E173" s="26"/>
      <c r="F173" s="26"/>
      <c r="G173" s="26"/>
      <c r="H173" s="26"/>
      <c r="I173" s="26"/>
      <c r="J173" s="37"/>
      <c r="K173" s="26"/>
      <c r="L173" s="107"/>
      <c r="M173" s="26"/>
      <c r="N173" s="40"/>
      <c r="O173" s="28">
        <f>Table16[[#This Row],[پیشکي]]-Table16[[#This Row],[د ۵۰ ٪ کرایی درکه]]</f>
        <v>0</v>
      </c>
    </row>
    <row r="174" spans="1:15">
      <c r="A174" s="41"/>
      <c r="B174" s="43"/>
      <c r="C174" s="26"/>
      <c r="D174" s="26"/>
      <c r="E174" s="26"/>
      <c r="F174" s="26"/>
      <c r="G174" s="26"/>
      <c r="H174" s="26"/>
      <c r="I174" s="26"/>
      <c r="J174" s="37"/>
      <c r="K174" s="26"/>
      <c r="L174" s="107"/>
      <c r="M174" s="26"/>
      <c r="N174" s="40"/>
      <c r="O174" s="28">
        <f>Table16[[#This Row],[پیشکي]]-Table16[[#This Row],[د ۵۰ ٪ کرایی درکه]]</f>
        <v>0</v>
      </c>
    </row>
    <row r="175" spans="1:15">
      <c r="A175" s="41"/>
      <c r="B175" s="43"/>
      <c r="C175" s="26"/>
      <c r="D175" s="26"/>
      <c r="E175" s="26"/>
      <c r="F175" s="26"/>
      <c r="G175" s="26"/>
      <c r="H175" s="26"/>
      <c r="I175" s="26"/>
      <c r="J175" s="37"/>
      <c r="K175" s="26"/>
      <c r="L175" s="107"/>
      <c r="M175" s="26"/>
      <c r="N175" s="40"/>
      <c r="O175" s="28">
        <f>Table16[[#This Row],[پیشکي]]-Table16[[#This Row],[د ۵۰ ٪ کرایی درکه]]</f>
        <v>0</v>
      </c>
    </row>
    <row r="176" spans="1:15">
      <c r="A176" s="41"/>
      <c r="B176" s="43"/>
      <c r="C176" s="26"/>
      <c r="D176" s="26"/>
      <c r="E176" s="26"/>
      <c r="F176" s="26"/>
      <c r="G176" s="26"/>
      <c r="H176" s="26"/>
      <c r="I176" s="26"/>
      <c r="J176" s="37"/>
      <c r="K176" s="26"/>
      <c r="L176" s="107"/>
      <c r="M176" s="26"/>
      <c r="N176" s="40"/>
      <c r="O176" s="28">
        <f>Table16[[#This Row],[پیشکي]]-Table16[[#This Row],[د ۵۰ ٪ کرایی درکه]]</f>
        <v>0</v>
      </c>
    </row>
    <row r="177" spans="1:15">
      <c r="A177" s="41"/>
      <c r="B177" s="43"/>
      <c r="C177" s="26"/>
      <c r="D177" s="26"/>
      <c r="E177" s="26"/>
      <c r="F177" s="26"/>
      <c r="G177" s="26"/>
      <c r="H177" s="26"/>
      <c r="I177" s="26"/>
      <c r="J177" s="37"/>
      <c r="K177" s="26"/>
      <c r="L177" s="107"/>
      <c r="M177" s="26"/>
      <c r="N177" s="40"/>
      <c r="O177" s="28">
        <f>Table16[[#This Row],[پیشکي]]-Table16[[#This Row],[د ۵۰ ٪ کرایی درکه]]</f>
        <v>0</v>
      </c>
    </row>
    <row r="178" spans="1:15">
      <c r="A178" s="41"/>
      <c r="B178" s="43"/>
      <c r="C178" s="26"/>
      <c r="D178" s="26"/>
      <c r="E178" s="26"/>
      <c r="F178" s="26"/>
      <c r="G178" s="26"/>
      <c r="H178" s="26"/>
      <c r="I178" s="26"/>
      <c r="J178" s="37"/>
      <c r="K178" s="26"/>
      <c r="L178" s="107"/>
      <c r="M178" s="26"/>
      <c r="N178" s="40"/>
      <c r="O178" s="28">
        <f>Table16[[#This Row],[پیشکي]]-Table16[[#This Row],[د ۵۰ ٪ کرایی درکه]]</f>
        <v>0</v>
      </c>
    </row>
    <row r="179" spans="1:15">
      <c r="A179" s="41"/>
      <c r="B179" s="43"/>
      <c r="C179" s="26"/>
      <c r="D179" s="26"/>
      <c r="E179" s="26"/>
      <c r="F179" s="26"/>
      <c r="G179" s="26"/>
      <c r="H179" s="26"/>
      <c r="I179" s="26"/>
      <c r="J179" s="37"/>
      <c r="K179" s="26"/>
      <c r="L179" s="107"/>
      <c r="M179" s="26"/>
      <c r="N179" s="40"/>
      <c r="O179" s="28">
        <f>Table16[[#This Row],[پیشکي]]-Table16[[#This Row],[د ۵۰ ٪ کرایی درکه]]</f>
        <v>0</v>
      </c>
    </row>
    <row r="180" spans="1:15">
      <c r="A180" s="41"/>
      <c r="B180" s="43"/>
      <c r="C180" s="26"/>
      <c r="D180" s="26"/>
      <c r="E180" s="26"/>
      <c r="F180" s="26"/>
      <c r="G180" s="26"/>
      <c r="H180" s="26"/>
      <c r="I180" s="26"/>
      <c r="J180" s="37"/>
      <c r="K180" s="26"/>
      <c r="L180" s="107"/>
      <c r="M180" s="26"/>
      <c r="N180" s="40"/>
      <c r="O180" s="28">
        <f>Table16[[#This Row],[پیشکي]]-Table16[[#This Row],[د ۵۰ ٪ کرایی درکه]]</f>
        <v>0</v>
      </c>
    </row>
    <row r="181" spans="1:15">
      <c r="A181" s="41"/>
      <c r="B181" s="43"/>
      <c r="C181" s="26"/>
      <c r="D181" s="26"/>
      <c r="E181" s="26"/>
      <c r="F181" s="26"/>
      <c r="G181" s="26"/>
      <c r="H181" s="26"/>
      <c r="I181" s="26"/>
      <c r="J181" s="37"/>
      <c r="K181" s="26"/>
      <c r="L181" s="107"/>
      <c r="M181" s="26"/>
      <c r="N181" s="40"/>
      <c r="O181" s="28">
        <f>Table16[[#This Row],[پیشکي]]-Table16[[#This Row],[د ۵۰ ٪ کرایی درکه]]</f>
        <v>0</v>
      </c>
    </row>
    <row r="182" spans="1:15">
      <c r="A182" s="41"/>
      <c r="B182" s="43"/>
      <c r="C182" s="26"/>
      <c r="D182" s="26"/>
      <c r="E182" s="26"/>
      <c r="F182" s="26"/>
      <c r="G182" s="26"/>
      <c r="H182" s="26"/>
      <c r="I182" s="26"/>
      <c r="J182" s="37"/>
      <c r="K182" s="26"/>
      <c r="L182" s="107"/>
      <c r="M182" s="26"/>
      <c r="N182" s="40"/>
      <c r="O182" s="28">
        <f>Table16[[#This Row],[پیشکي]]-Table16[[#This Row],[د ۵۰ ٪ کرایی درکه]]</f>
        <v>0</v>
      </c>
    </row>
    <row r="183" spans="1:15">
      <c r="A183" s="41"/>
      <c r="B183" s="43"/>
      <c r="C183" s="26"/>
      <c r="D183" s="26"/>
      <c r="E183" s="26"/>
      <c r="F183" s="26"/>
      <c r="G183" s="26"/>
      <c r="H183" s="26"/>
      <c r="I183" s="26"/>
      <c r="J183" s="37"/>
      <c r="K183" s="26"/>
      <c r="L183" s="107"/>
      <c r="M183" s="26"/>
      <c r="N183" s="40"/>
      <c r="O183" s="28">
        <f>Table16[[#This Row],[پیشکي]]-Table16[[#This Row],[د ۵۰ ٪ کرایی درکه]]</f>
        <v>0</v>
      </c>
    </row>
    <row r="184" spans="1:15">
      <c r="A184" s="41"/>
      <c r="B184" s="43"/>
      <c r="C184" s="26"/>
      <c r="D184" s="26"/>
      <c r="E184" s="26"/>
      <c r="F184" s="26"/>
      <c r="G184" s="26"/>
      <c r="H184" s="26"/>
      <c r="I184" s="26"/>
      <c r="J184" s="37"/>
      <c r="K184" s="26"/>
      <c r="L184" s="107"/>
      <c r="M184" s="26"/>
      <c r="N184" s="40"/>
      <c r="O184" s="28">
        <f>Table16[[#This Row],[پیشکي]]-Table16[[#This Row],[د ۵۰ ٪ کرایی درکه]]</f>
        <v>0</v>
      </c>
    </row>
    <row r="185" spans="1:15">
      <c r="A185" s="41"/>
      <c r="B185" s="43"/>
      <c r="C185" s="26"/>
      <c r="D185" s="26"/>
      <c r="E185" s="26"/>
      <c r="F185" s="26"/>
      <c r="G185" s="26"/>
      <c r="H185" s="26"/>
      <c r="I185" s="26"/>
      <c r="J185" s="37"/>
      <c r="K185" s="26"/>
      <c r="L185" s="107"/>
      <c r="M185" s="26"/>
      <c r="N185" s="40"/>
      <c r="O185" s="28">
        <f>Table16[[#This Row],[پیشکي]]-Table16[[#This Row],[د ۵۰ ٪ کرایی درکه]]</f>
        <v>0</v>
      </c>
    </row>
    <row r="186" spans="1:15">
      <c r="A186" s="41"/>
      <c r="B186" s="43"/>
      <c r="C186" s="26"/>
      <c r="D186" s="26"/>
      <c r="E186" s="26"/>
      <c r="F186" s="26"/>
      <c r="G186" s="26"/>
      <c r="H186" s="26"/>
      <c r="I186" s="26"/>
      <c r="J186" s="37"/>
      <c r="K186" s="26"/>
      <c r="L186" s="107"/>
      <c r="M186" s="26"/>
      <c r="N186" s="40"/>
      <c r="O186" s="28">
        <f>Table16[[#This Row],[پیشکي]]-Table16[[#This Row],[د ۵۰ ٪ کرایی درکه]]</f>
        <v>0</v>
      </c>
    </row>
    <row r="187" spans="1:15">
      <c r="A187" s="41"/>
      <c r="B187" s="43"/>
      <c r="C187" s="26"/>
      <c r="D187" s="26"/>
      <c r="E187" s="26"/>
      <c r="F187" s="26"/>
      <c r="G187" s="26"/>
      <c r="H187" s="26"/>
      <c r="I187" s="26"/>
      <c r="J187" s="37"/>
      <c r="K187" s="26"/>
      <c r="L187" s="107"/>
      <c r="M187" s="26"/>
      <c r="N187" s="40"/>
      <c r="O187" s="28">
        <f>Table16[[#This Row],[پیشکي]]-Table16[[#This Row],[د ۵۰ ٪ کرایی درکه]]</f>
        <v>0</v>
      </c>
    </row>
    <row r="188" spans="1:15">
      <c r="A188" s="41"/>
      <c r="B188" s="43"/>
      <c r="C188" s="26"/>
      <c r="D188" s="26"/>
      <c r="E188" s="26"/>
      <c r="F188" s="26"/>
      <c r="G188" s="26"/>
      <c r="H188" s="26"/>
      <c r="I188" s="26"/>
      <c r="J188" s="37"/>
      <c r="K188" s="26"/>
      <c r="L188" s="107"/>
      <c r="M188" s="26"/>
      <c r="N188" s="40"/>
      <c r="O188" s="28">
        <f>Table16[[#This Row],[پیشکي]]-Table16[[#This Row],[د ۵۰ ٪ کرایی درکه]]</f>
        <v>0</v>
      </c>
    </row>
    <row r="189" spans="1:15">
      <c r="A189" s="41"/>
      <c r="B189" s="43"/>
      <c r="C189" s="26"/>
      <c r="D189" s="26"/>
      <c r="E189" s="26"/>
      <c r="F189" s="26"/>
      <c r="G189" s="26"/>
      <c r="H189" s="26"/>
      <c r="I189" s="26"/>
      <c r="J189" s="37"/>
      <c r="K189" s="26"/>
      <c r="L189" s="107"/>
      <c r="M189" s="26"/>
      <c r="N189" s="40"/>
      <c r="O189" s="28">
        <f>Table16[[#This Row],[پیشکي]]-Table16[[#This Row],[د ۵۰ ٪ کرایی درکه]]</f>
        <v>0</v>
      </c>
    </row>
    <row r="190" spans="1:15">
      <c r="A190" s="41"/>
      <c r="B190" s="43"/>
      <c r="C190" s="26"/>
      <c r="D190" s="26"/>
      <c r="E190" s="26"/>
      <c r="F190" s="26"/>
      <c r="G190" s="26"/>
      <c r="H190" s="26"/>
      <c r="I190" s="26"/>
      <c r="J190" s="37"/>
      <c r="K190" s="26"/>
      <c r="L190" s="107"/>
      <c r="M190" s="26"/>
      <c r="N190" s="40"/>
      <c r="O190" s="28">
        <f>Table16[[#This Row],[پیشکي]]-Table16[[#This Row],[د ۵۰ ٪ کرایی درکه]]</f>
        <v>0</v>
      </c>
    </row>
    <row r="191" spans="1:15">
      <c r="A191" s="41"/>
      <c r="B191" s="43"/>
      <c r="C191" s="26"/>
      <c r="D191" s="26"/>
      <c r="E191" s="26"/>
      <c r="F191" s="26"/>
      <c r="G191" s="26"/>
      <c r="H191" s="26"/>
      <c r="I191" s="26"/>
      <c r="J191" s="37"/>
      <c r="K191" s="26"/>
      <c r="L191" s="107"/>
      <c r="M191" s="26"/>
      <c r="N191" s="40"/>
      <c r="O191" s="28">
        <f>Table16[[#This Row],[پیشکي]]-Table16[[#This Row],[د ۵۰ ٪ کرایی درکه]]</f>
        <v>0</v>
      </c>
    </row>
    <row r="192" spans="1:15">
      <c r="A192" s="41"/>
      <c r="B192" s="43"/>
      <c r="C192" s="26"/>
      <c r="D192" s="26"/>
      <c r="E192" s="26"/>
      <c r="F192" s="26"/>
      <c r="G192" s="26"/>
      <c r="H192" s="26"/>
      <c r="I192" s="26"/>
      <c r="J192" s="37"/>
      <c r="K192" s="26"/>
      <c r="L192" s="107"/>
      <c r="M192" s="26"/>
      <c r="N192" s="40"/>
      <c r="O192" s="28">
        <f>Table16[[#This Row],[پیشکي]]-Table16[[#This Row],[د ۵۰ ٪ کرایی درکه]]</f>
        <v>0</v>
      </c>
    </row>
    <row r="193" spans="1:15">
      <c r="A193" s="41"/>
      <c r="B193" s="43"/>
      <c r="C193" s="26"/>
      <c r="D193" s="26"/>
      <c r="E193" s="26"/>
      <c r="F193" s="26"/>
      <c r="G193" s="26"/>
      <c r="H193" s="26"/>
      <c r="I193" s="26"/>
      <c r="J193" s="37"/>
      <c r="K193" s="26"/>
      <c r="L193" s="107"/>
      <c r="M193" s="26"/>
      <c r="N193" s="40"/>
      <c r="O193" s="28">
        <f>Table16[[#This Row],[پیشکي]]-Table16[[#This Row],[د ۵۰ ٪ کرایی درکه]]</f>
        <v>0</v>
      </c>
    </row>
    <row r="194" spans="1:15">
      <c r="A194" s="41"/>
      <c r="B194" s="43"/>
      <c r="C194" s="26"/>
      <c r="D194" s="26"/>
      <c r="E194" s="26"/>
      <c r="F194" s="26"/>
      <c r="G194" s="26"/>
      <c r="H194" s="26"/>
      <c r="I194" s="26"/>
      <c r="J194" s="37"/>
      <c r="K194" s="26"/>
      <c r="L194" s="107"/>
      <c r="M194" s="26"/>
      <c r="N194" s="40"/>
      <c r="O194" s="28">
        <f>Table16[[#This Row],[پیشکي]]-Table16[[#This Row],[د ۵۰ ٪ کرایی درکه]]</f>
        <v>0</v>
      </c>
    </row>
    <row r="195" spans="1:15">
      <c r="A195" s="41"/>
      <c r="B195" s="43"/>
      <c r="C195" s="26"/>
      <c r="D195" s="26"/>
      <c r="E195" s="26"/>
      <c r="F195" s="26"/>
      <c r="G195" s="26"/>
      <c r="H195" s="26"/>
      <c r="I195" s="26"/>
      <c r="J195" s="37"/>
      <c r="K195" s="26"/>
      <c r="L195" s="107"/>
      <c r="M195" s="26"/>
      <c r="N195" s="40"/>
      <c r="O195" s="28">
        <f>Table16[[#This Row],[پیشکي]]-Table16[[#This Row],[د ۵۰ ٪ کرایی درکه]]</f>
        <v>0</v>
      </c>
    </row>
    <row r="196" spans="1:15">
      <c r="A196" s="41"/>
      <c r="B196" s="43"/>
      <c r="C196" s="26"/>
      <c r="D196" s="26"/>
      <c r="E196" s="26"/>
      <c r="F196" s="26"/>
      <c r="G196" s="26"/>
      <c r="H196" s="26"/>
      <c r="I196" s="26"/>
      <c r="J196" s="37"/>
      <c r="K196" s="26"/>
      <c r="L196" s="107"/>
      <c r="M196" s="26"/>
      <c r="N196" s="40"/>
      <c r="O196" s="28">
        <f>Table16[[#This Row],[پیشکي]]-Table16[[#This Row],[د ۵۰ ٪ کرایی درکه]]</f>
        <v>0</v>
      </c>
    </row>
    <row r="197" spans="1:15">
      <c r="A197" s="41"/>
      <c r="B197" s="43"/>
      <c r="C197" s="26"/>
      <c r="D197" s="26"/>
      <c r="E197" s="26"/>
      <c r="F197" s="26"/>
      <c r="G197" s="26"/>
      <c r="H197" s="26"/>
      <c r="I197" s="26"/>
      <c r="J197" s="37"/>
      <c r="K197" s="26"/>
      <c r="L197" s="107"/>
      <c r="M197" s="26"/>
      <c r="N197" s="40"/>
      <c r="O197" s="28">
        <f>Table16[[#This Row],[پیشکي]]-Table16[[#This Row],[د ۵۰ ٪ کرایی درکه]]</f>
        <v>0</v>
      </c>
    </row>
    <row r="198" spans="1:15">
      <c r="A198" s="41"/>
      <c r="B198" s="43"/>
      <c r="C198" s="26"/>
      <c r="D198" s="26"/>
      <c r="E198" s="26"/>
      <c r="F198" s="26"/>
      <c r="G198" s="26"/>
      <c r="H198" s="26"/>
      <c r="I198" s="26"/>
      <c r="J198" s="37"/>
      <c r="K198" s="26"/>
      <c r="L198" s="107"/>
      <c r="M198" s="26"/>
      <c r="N198" s="40"/>
      <c r="O198" s="28">
        <f>Table16[[#This Row],[پیشکي]]-Table16[[#This Row],[د ۵۰ ٪ کرایی درکه]]</f>
        <v>0</v>
      </c>
    </row>
    <row r="199" spans="1:15">
      <c r="A199" s="41"/>
      <c r="B199" s="43"/>
      <c r="C199" s="26"/>
      <c r="D199" s="26"/>
      <c r="E199" s="26"/>
      <c r="F199" s="26"/>
      <c r="G199" s="26"/>
      <c r="H199" s="26"/>
      <c r="I199" s="26"/>
      <c r="J199" s="37"/>
      <c r="K199" s="26"/>
      <c r="L199" s="107"/>
      <c r="M199" s="26"/>
      <c r="N199" s="40"/>
      <c r="O199" s="28">
        <f>Table16[[#This Row],[پیشکي]]-Table16[[#This Row],[د ۵۰ ٪ کرایی درکه]]</f>
        <v>0</v>
      </c>
    </row>
    <row r="200" spans="1:15">
      <c r="A200" s="41"/>
      <c r="B200" s="43"/>
      <c r="C200" s="26"/>
      <c r="D200" s="26"/>
      <c r="E200" s="26"/>
      <c r="F200" s="26"/>
      <c r="G200" s="26"/>
      <c r="H200" s="26"/>
      <c r="I200" s="26"/>
      <c r="J200" s="37"/>
      <c r="K200" s="26"/>
      <c r="L200" s="107"/>
      <c r="M200" s="26"/>
      <c r="N200" s="40"/>
      <c r="O200" s="28">
        <f>Table16[[#This Row],[پیشکي]]-Table16[[#This Row],[د ۵۰ ٪ کرایی درکه]]</f>
        <v>0</v>
      </c>
    </row>
    <row r="201" spans="1:15">
      <c r="A201" s="41"/>
      <c r="B201" s="43"/>
      <c r="C201" s="26"/>
      <c r="D201" s="26"/>
      <c r="E201" s="26"/>
      <c r="F201" s="26"/>
      <c r="G201" s="26"/>
      <c r="H201" s="26"/>
      <c r="I201" s="26"/>
      <c r="J201" s="37"/>
      <c r="K201" s="26"/>
      <c r="L201" s="107"/>
      <c r="M201" s="26"/>
      <c r="N201" s="40"/>
      <c r="O201" s="28">
        <f>Table16[[#This Row],[پیشکي]]-Table16[[#This Row],[د ۵۰ ٪ کرایی درکه]]</f>
        <v>0</v>
      </c>
    </row>
    <row r="202" spans="1:15">
      <c r="A202" s="41"/>
      <c r="B202" s="43"/>
      <c r="C202" s="26"/>
      <c r="D202" s="26"/>
      <c r="E202" s="26"/>
      <c r="F202" s="26"/>
      <c r="G202" s="26"/>
      <c r="H202" s="26"/>
      <c r="I202" s="26"/>
      <c r="J202" s="37"/>
      <c r="K202" s="26"/>
      <c r="L202" s="107"/>
      <c r="M202" s="26"/>
      <c r="N202" s="40"/>
      <c r="O202" s="28">
        <f>Table16[[#This Row],[پیشکي]]-Table16[[#This Row],[د ۵۰ ٪ کرایی درکه]]</f>
        <v>0</v>
      </c>
    </row>
    <row r="203" spans="1:15">
      <c r="A203" s="41"/>
      <c r="B203" s="43"/>
      <c r="C203" s="26"/>
      <c r="D203" s="26"/>
      <c r="E203" s="26"/>
      <c r="F203" s="26"/>
      <c r="G203" s="26"/>
      <c r="H203" s="26"/>
      <c r="I203" s="26"/>
      <c r="J203" s="37"/>
      <c r="K203" s="26"/>
      <c r="L203" s="107"/>
      <c r="M203" s="26"/>
      <c r="N203" s="40"/>
      <c r="O203" s="28">
        <f>Table16[[#This Row],[پیشکي]]-Table16[[#This Row],[د ۵۰ ٪ کرایی درکه]]</f>
        <v>0</v>
      </c>
    </row>
    <row r="204" spans="1:15">
      <c r="A204" s="41"/>
      <c r="B204" s="43"/>
      <c r="C204" s="26"/>
      <c r="D204" s="26"/>
      <c r="E204" s="26"/>
      <c r="F204" s="26"/>
      <c r="G204" s="26"/>
      <c r="H204" s="26"/>
      <c r="I204" s="26"/>
      <c r="J204" s="37"/>
      <c r="K204" s="26"/>
      <c r="L204" s="107"/>
      <c r="M204" s="26"/>
      <c r="N204" s="40"/>
      <c r="O204" s="28">
        <f>Table16[[#This Row],[پیشکي]]-Table16[[#This Row],[د ۵۰ ٪ کرایی درکه]]</f>
        <v>0</v>
      </c>
    </row>
    <row r="205" spans="1:15">
      <c r="A205" s="41"/>
      <c r="B205" s="43"/>
      <c r="C205" s="26"/>
      <c r="D205" s="26"/>
      <c r="E205" s="26"/>
      <c r="F205" s="26"/>
      <c r="G205" s="26"/>
      <c r="H205" s="26"/>
      <c r="I205" s="26"/>
      <c r="J205" s="37"/>
      <c r="K205" s="26"/>
      <c r="L205" s="107"/>
      <c r="M205" s="26"/>
      <c r="N205" s="40"/>
      <c r="O205" s="28">
        <f>Table16[[#This Row],[پیشکي]]-Table16[[#This Row],[د ۵۰ ٪ کرایی درکه]]</f>
        <v>0</v>
      </c>
    </row>
    <row r="206" spans="1:15">
      <c r="A206" s="41"/>
      <c r="B206" s="43"/>
      <c r="C206" s="26"/>
      <c r="D206" s="26"/>
      <c r="E206" s="26"/>
      <c r="F206" s="26"/>
      <c r="G206" s="26"/>
      <c r="H206" s="26"/>
      <c r="I206" s="26"/>
      <c r="J206" s="37"/>
      <c r="K206" s="26"/>
      <c r="L206" s="107"/>
      <c r="M206" s="26"/>
      <c r="N206" s="40"/>
      <c r="O206" s="28">
        <f>Table16[[#This Row],[پیشکي]]-Table16[[#This Row],[د ۵۰ ٪ کرایی درکه]]</f>
        <v>0</v>
      </c>
    </row>
    <row r="207" spans="1:15">
      <c r="A207" s="41"/>
      <c r="B207" s="43"/>
      <c r="C207" s="26"/>
      <c r="D207" s="26"/>
      <c r="E207" s="26"/>
      <c r="F207" s="26"/>
      <c r="G207" s="26"/>
      <c r="H207" s="26"/>
      <c r="I207" s="26"/>
      <c r="J207" s="37"/>
      <c r="K207" s="26"/>
      <c r="L207" s="107"/>
      <c r="M207" s="26"/>
      <c r="N207" s="40"/>
      <c r="O207" s="28">
        <f>Table16[[#This Row],[پیشکي]]-Table16[[#This Row],[د ۵۰ ٪ کرایی درکه]]</f>
        <v>0</v>
      </c>
    </row>
    <row r="208" spans="1:15">
      <c r="A208" s="41"/>
      <c r="B208" s="43"/>
      <c r="C208" s="26"/>
      <c r="D208" s="26"/>
      <c r="E208" s="26"/>
      <c r="F208" s="26"/>
      <c r="G208" s="26"/>
      <c r="H208" s="26"/>
      <c r="I208" s="26"/>
      <c r="J208" s="37"/>
      <c r="K208" s="26"/>
      <c r="L208" s="107"/>
      <c r="M208" s="26"/>
      <c r="N208" s="40"/>
      <c r="O208" s="28">
        <f>Table16[[#This Row],[پیشکي]]-Table16[[#This Row],[د ۵۰ ٪ کرایی درکه]]</f>
        <v>0</v>
      </c>
    </row>
    <row r="209" spans="1:15">
      <c r="A209" s="41"/>
      <c r="B209" s="43"/>
      <c r="C209" s="26"/>
      <c r="D209" s="26"/>
      <c r="E209" s="26"/>
      <c r="F209" s="26"/>
      <c r="G209" s="26"/>
      <c r="H209" s="26"/>
      <c r="I209" s="26"/>
      <c r="J209" s="37"/>
      <c r="K209" s="26"/>
      <c r="L209" s="107"/>
      <c r="M209" s="26"/>
      <c r="N209" s="40"/>
      <c r="O209" s="28">
        <f>Table16[[#This Row],[پیشکي]]-Table16[[#This Row],[د ۵۰ ٪ کرایی درکه]]</f>
        <v>0</v>
      </c>
    </row>
    <row r="210" spans="1:15">
      <c r="A210" s="41"/>
      <c r="B210" s="43"/>
      <c r="C210" s="26"/>
      <c r="D210" s="26"/>
      <c r="E210" s="26"/>
      <c r="F210" s="26"/>
      <c r="G210" s="26"/>
      <c r="H210" s="26"/>
      <c r="I210" s="26"/>
      <c r="J210" s="37"/>
      <c r="K210" s="26"/>
      <c r="L210" s="107"/>
      <c r="M210" s="26"/>
      <c r="N210" s="40"/>
      <c r="O210" s="28">
        <f>Table16[[#This Row],[پیشکي]]-Table16[[#This Row],[د ۵۰ ٪ کرایی درکه]]</f>
        <v>0</v>
      </c>
    </row>
    <row r="211" spans="1:15">
      <c r="A211" s="41"/>
      <c r="B211" s="43"/>
      <c r="C211" s="26"/>
      <c r="D211" s="26"/>
      <c r="E211" s="26"/>
      <c r="F211" s="26"/>
      <c r="G211" s="26"/>
      <c r="H211" s="26"/>
      <c r="I211" s="26"/>
      <c r="J211" s="37"/>
      <c r="K211" s="26"/>
      <c r="L211" s="107"/>
      <c r="M211" s="26"/>
      <c r="N211" s="40"/>
      <c r="O211" s="28">
        <f>Table16[[#This Row],[پیشکي]]-Table16[[#This Row],[د ۵۰ ٪ کرایی درکه]]</f>
        <v>0</v>
      </c>
    </row>
    <row r="212" spans="1:15">
      <c r="A212" s="41"/>
      <c r="B212" s="43"/>
      <c r="C212" s="26"/>
      <c r="D212" s="26"/>
      <c r="E212" s="26"/>
      <c r="F212" s="26"/>
      <c r="G212" s="26"/>
      <c r="H212" s="26"/>
      <c r="I212" s="26"/>
      <c r="J212" s="37"/>
      <c r="K212" s="26"/>
      <c r="L212" s="107"/>
      <c r="M212" s="26"/>
      <c r="N212" s="40"/>
      <c r="O212" s="28">
        <f>Table16[[#This Row],[پیشکي]]-Table16[[#This Row],[د ۵۰ ٪ کرایی درکه]]</f>
        <v>0</v>
      </c>
    </row>
    <row r="213" spans="1:15">
      <c r="A213" s="41"/>
      <c r="B213" s="43"/>
      <c r="C213" s="26"/>
      <c r="D213" s="26"/>
      <c r="E213" s="26"/>
      <c r="F213" s="26"/>
      <c r="G213" s="26"/>
      <c r="H213" s="26"/>
      <c r="I213" s="26"/>
      <c r="J213" s="37"/>
      <c r="K213" s="26"/>
      <c r="L213" s="107"/>
      <c r="M213" s="26"/>
      <c r="N213" s="40"/>
      <c r="O213" s="28">
        <f>Table16[[#This Row],[پیشکي]]-Table16[[#This Row],[د ۵۰ ٪ کرایی درکه]]</f>
        <v>0</v>
      </c>
    </row>
    <row r="214" spans="1:15">
      <c r="A214" s="41"/>
      <c r="B214" s="43"/>
      <c r="C214" s="26"/>
      <c r="D214" s="26"/>
      <c r="E214" s="26"/>
      <c r="F214" s="26"/>
      <c r="G214" s="26"/>
      <c r="H214" s="26"/>
      <c r="I214" s="26"/>
      <c r="J214" s="37"/>
      <c r="K214" s="26"/>
      <c r="L214" s="107"/>
      <c r="M214" s="26"/>
      <c r="N214" s="40"/>
      <c r="O214" s="28">
        <f>Table16[[#This Row],[پیشکي]]-Table16[[#This Row],[د ۵۰ ٪ کرایی درکه]]</f>
        <v>0</v>
      </c>
    </row>
    <row r="215" spans="1:15">
      <c r="A215" s="41"/>
      <c r="B215" s="43"/>
      <c r="C215" s="26"/>
      <c r="D215" s="26"/>
      <c r="E215" s="26"/>
      <c r="F215" s="26"/>
      <c r="G215" s="26"/>
      <c r="H215" s="26"/>
      <c r="I215" s="26"/>
      <c r="J215" s="37"/>
      <c r="K215" s="26"/>
      <c r="L215" s="107"/>
      <c r="M215" s="26"/>
      <c r="N215" s="40"/>
      <c r="O215" s="28">
        <f>Table16[[#This Row],[پیشکي]]-Table16[[#This Row],[د ۵۰ ٪ کرایی درکه]]</f>
        <v>0</v>
      </c>
    </row>
    <row r="216" spans="1:15">
      <c r="A216" s="41"/>
      <c r="B216" s="43"/>
      <c r="C216" s="26"/>
      <c r="D216" s="26"/>
      <c r="E216" s="26"/>
      <c r="F216" s="26"/>
      <c r="G216" s="26"/>
      <c r="H216" s="26"/>
      <c r="I216" s="26"/>
      <c r="J216" s="37"/>
      <c r="K216" s="26"/>
      <c r="L216" s="107"/>
      <c r="M216" s="26"/>
      <c r="N216" s="40"/>
      <c r="O216" s="28">
        <f>Table16[[#This Row],[پیشکي]]-Table16[[#This Row],[د ۵۰ ٪ کرایی درکه]]</f>
        <v>0</v>
      </c>
    </row>
    <row r="217" spans="1:15">
      <c r="A217" s="41"/>
      <c r="B217" s="43"/>
      <c r="C217" s="26"/>
      <c r="D217" s="26"/>
      <c r="E217" s="26"/>
      <c r="F217" s="26"/>
      <c r="G217" s="26"/>
      <c r="H217" s="26"/>
      <c r="I217" s="26"/>
      <c r="J217" s="37"/>
      <c r="K217" s="26"/>
      <c r="L217" s="107"/>
      <c r="M217" s="26"/>
      <c r="N217" s="40"/>
      <c r="O217" s="28">
        <f>Table16[[#This Row],[پیشکي]]-Table16[[#This Row],[د ۵۰ ٪ کرایی درکه]]</f>
        <v>0</v>
      </c>
    </row>
    <row r="218" spans="1:15">
      <c r="A218" s="41"/>
      <c r="B218" s="43"/>
      <c r="C218" s="26"/>
      <c r="D218" s="26"/>
      <c r="E218" s="26"/>
      <c r="F218" s="26"/>
      <c r="G218" s="26"/>
      <c r="H218" s="26"/>
      <c r="I218" s="26"/>
      <c r="J218" s="37"/>
      <c r="K218" s="26"/>
      <c r="L218" s="107"/>
      <c r="M218" s="26"/>
      <c r="N218" s="40"/>
      <c r="O218" s="28">
        <f>Table16[[#This Row],[پیشکي]]-Table16[[#This Row],[د ۵۰ ٪ کرایی درکه]]</f>
        <v>0</v>
      </c>
    </row>
    <row r="219" spans="1:15">
      <c r="A219" s="41"/>
      <c r="B219" s="43"/>
      <c r="C219" s="26"/>
      <c r="D219" s="26"/>
      <c r="E219" s="26"/>
      <c r="F219" s="26"/>
      <c r="G219" s="26"/>
      <c r="H219" s="26"/>
      <c r="I219" s="26"/>
      <c r="J219" s="37"/>
      <c r="K219" s="26"/>
      <c r="L219" s="107"/>
      <c r="M219" s="26"/>
      <c r="N219" s="40"/>
      <c r="O219" s="28">
        <f>Table16[[#This Row],[پیشکي]]-Table16[[#This Row],[د ۵۰ ٪ کرایی درکه]]</f>
        <v>0</v>
      </c>
    </row>
    <row r="220" spans="1:15">
      <c r="A220" s="41"/>
      <c r="B220" s="43"/>
      <c r="C220" s="26"/>
      <c r="D220" s="26"/>
      <c r="E220" s="26"/>
      <c r="F220" s="26"/>
      <c r="G220" s="26"/>
      <c r="H220" s="26"/>
      <c r="I220" s="26"/>
      <c r="J220" s="37"/>
      <c r="K220" s="26"/>
      <c r="L220" s="107"/>
      <c r="M220" s="26"/>
      <c r="N220" s="40"/>
      <c r="O220" s="28">
        <f>Table16[[#This Row],[پیشکي]]-Table16[[#This Row],[د ۵۰ ٪ کرایی درکه]]</f>
        <v>0</v>
      </c>
    </row>
    <row r="221" spans="1:15">
      <c r="A221" s="41"/>
      <c r="B221" s="43"/>
      <c r="C221" s="26"/>
      <c r="D221" s="26"/>
      <c r="E221" s="26"/>
      <c r="F221" s="26"/>
      <c r="G221" s="26"/>
      <c r="H221" s="26"/>
      <c r="I221" s="26"/>
      <c r="J221" s="37"/>
      <c r="K221" s="26"/>
      <c r="L221" s="107"/>
      <c r="M221" s="26"/>
      <c r="N221" s="40"/>
      <c r="O221" s="28">
        <f>Table16[[#This Row],[پیشکي]]-Table16[[#This Row],[د ۵۰ ٪ کرایی درکه]]</f>
        <v>0</v>
      </c>
    </row>
    <row r="222" spans="1:15">
      <c r="A222" s="41"/>
      <c r="B222" s="43"/>
      <c r="C222" s="26"/>
      <c r="D222" s="26"/>
      <c r="E222" s="26"/>
      <c r="F222" s="26"/>
      <c r="G222" s="26"/>
      <c r="H222" s="26"/>
      <c r="I222" s="26"/>
      <c r="J222" s="37"/>
      <c r="K222" s="26"/>
      <c r="L222" s="107"/>
      <c r="M222" s="26"/>
      <c r="N222" s="40"/>
      <c r="O222" s="28">
        <f>Table16[[#This Row],[پیشکي]]-Table16[[#This Row],[د ۵۰ ٪ کرایی درکه]]</f>
        <v>0</v>
      </c>
    </row>
    <row r="223" spans="1:15">
      <c r="A223" s="41"/>
      <c r="B223" s="43"/>
      <c r="C223" s="26"/>
      <c r="D223" s="26"/>
      <c r="E223" s="26"/>
      <c r="F223" s="26"/>
      <c r="G223" s="26"/>
      <c r="H223" s="26"/>
      <c r="I223" s="26"/>
      <c r="J223" s="37"/>
      <c r="K223" s="26"/>
      <c r="L223" s="107"/>
      <c r="M223" s="26"/>
      <c r="N223" s="40"/>
      <c r="O223" s="28">
        <f>Table16[[#This Row],[پیشکي]]-Table16[[#This Row],[د ۵۰ ٪ کرایی درکه]]</f>
        <v>0</v>
      </c>
    </row>
    <row r="224" spans="1:15">
      <c r="A224" s="41"/>
      <c r="B224" s="43"/>
      <c r="C224" s="26"/>
      <c r="D224" s="26"/>
      <c r="E224" s="26"/>
      <c r="F224" s="26"/>
      <c r="G224" s="26"/>
      <c r="H224" s="26"/>
      <c r="I224" s="26"/>
      <c r="J224" s="37"/>
      <c r="K224" s="26"/>
      <c r="L224" s="107"/>
      <c r="M224" s="26"/>
      <c r="N224" s="40"/>
      <c r="O224" s="28">
        <f>Table16[[#This Row],[پیشکي]]-Table16[[#This Row],[د ۵۰ ٪ کرایی درکه]]</f>
        <v>0</v>
      </c>
    </row>
    <row r="225" spans="1:15">
      <c r="A225" s="41"/>
      <c r="B225" s="43"/>
      <c r="C225" s="26"/>
      <c r="D225" s="26"/>
      <c r="E225" s="26"/>
      <c r="F225" s="26"/>
      <c r="G225" s="26"/>
      <c r="H225" s="26"/>
      <c r="I225" s="26"/>
      <c r="J225" s="37"/>
      <c r="K225" s="26"/>
      <c r="L225" s="107"/>
      <c r="M225" s="26"/>
      <c r="N225" s="40"/>
      <c r="O225" s="28">
        <f>Table16[[#This Row],[پیشکي]]-Table16[[#This Row],[د ۵۰ ٪ کرایی درکه]]</f>
        <v>0</v>
      </c>
    </row>
    <row r="226" spans="1:15">
      <c r="A226" s="41"/>
      <c r="B226" s="43"/>
      <c r="C226" s="26"/>
      <c r="D226" s="26"/>
      <c r="E226" s="26"/>
      <c r="F226" s="26"/>
      <c r="G226" s="26"/>
      <c r="H226" s="26"/>
      <c r="I226" s="26"/>
      <c r="J226" s="37"/>
      <c r="K226" s="26"/>
      <c r="L226" s="107"/>
      <c r="M226" s="26"/>
      <c r="N226" s="40"/>
      <c r="O226" s="28">
        <f>Table16[[#This Row],[پیشکي]]-Table16[[#This Row],[د ۵۰ ٪ کرایی درکه]]</f>
        <v>0</v>
      </c>
    </row>
    <row r="227" spans="1:15">
      <c r="A227" s="41"/>
      <c r="B227" s="43"/>
      <c r="C227" s="26"/>
      <c r="D227" s="26"/>
      <c r="E227" s="26"/>
      <c r="F227" s="26"/>
      <c r="G227" s="26"/>
      <c r="H227" s="26"/>
      <c r="I227" s="26"/>
      <c r="J227" s="37"/>
      <c r="K227" s="26"/>
      <c r="L227" s="107"/>
      <c r="M227" s="26"/>
      <c r="N227" s="40"/>
      <c r="O227" s="28">
        <f>Table16[[#This Row],[پیشکي]]-Table16[[#This Row],[د ۵۰ ٪ کرایی درکه]]</f>
        <v>0</v>
      </c>
    </row>
    <row r="228" spans="1:15">
      <c r="A228" s="41"/>
      <c r="B228" s="43"/>
      <c r="C228" s="26"/>
      <c r="D228" s="26"/>
      <c r="E228" s="26"/>
      <c r="F228" s="26"/>
      <c r="G228" s="26"/>
      <c r="H228" s="26"/>
      <c r="I228" s="26"/>
      <c r="J228" s="37"/>
      <c r="K228" s="26"/>
      <c r="L228" s="107"/>
      <c r="M228" s="26"/>
      <c r="N228" s="40"/>
      <c r="O228" s="28">
        <f>Table16[[#This Row],[پیشکي]]-Table16[[#This Row],[د ۵۰ ٪ کرایی درکه]]</f>
        <v>0</v>
      </c>
    </row>
    <row r="229" spans="1:15">
      <c r="A229" s="41"/>
      <c r="B229" s="43"/>
      <c r="C229" s="26"/>
      <c r="D229" s="26"/>
      <c r="E229" s="26"/>
      <c r="F229" s="26"/>
      <c r="G229" s="26"/>
      <c r="H229" s="26"/>
      <c r="I229" s="26"/>
      <c r="J229" s="37"/>
      <c r="K229" s="26"/>
      <c r="L229" s="107"/>
      <c r="M229" s="26"/>
      <c r="N229" s="40"/>
      <c r="O229" s="28">
        <f>Table16[[#This Row],[پیشکي]]-Table16[[#This Row],[د ۵۰ ٪ کرایی درکه]]</f>
        <v>0</v>
      </c>
    </row>
    <row r="230" spans="1:15">
      <c r="A230" s="41"/>
      <c r="B230" s="43"/>
      <c r="C230" s="26"/>
      <c r="D230" s="26"/>
      <c r="E230" s="26"/>
      <c r="F230" s="26"/>
      <c r="G230" s="26"/>
      <c r="H230" s="26"/>
      <c r="I230" s="26"/>
      <c r="J230" s="37"/>
      <c r="K230" s="26"/>
      <c r="L230" s="107"/>
      <c r="M230" s="26"/>
      <c r="N230" s="40"/>
      <c r="O230" s="28">
        <f>Table16[[#This Row],[پیشکي]]-Table16[[#This Row],[د ۵۰ ٪ کرایی درکه]]</f>
        <v>0</v>
      </c>
    </row>
    <row r="231" spans="1:15">
      <c r="A231" s="41"/>
      <c r="B231" s="43"/>
      <c r="C231" s="26"/>
      <c r="D231" s="26"/>
      <c r="E231" s="26"/>
      <c r="F231" s="26"/>
      <c r="G231" s="26"/>
      <c r="H231" s="26"/>
      <c r="I231" s="26"/>
      <c r="J231" s="37"/>
      <c r="K231" s="26"/>
      <c r="L231" s="107"/>
      <c r="M231" s="26"/>
      <c r="N231" s="40"/>
      <c r="O231" s="28">
        <f>Table16[[#This Row],[پیشکي]]-Table16[[#This Row],[د ۵۰ ٪ کرایی درکه]]</f>
        <v>0</v>
      </c>
    </row>
    <row r="232" spans="1:15">
      <c r="A232" s="41"/>
      <c r="B232" s="43"/>
      <c r="C232" s="26"/>
      <c r="D232" s="26"/>
      <c r="E232" s="26"/>
      <c r="F232" s="26"/>
      <c r="G232" s="26"/>
      <c r="H232" s="26"/>
      <c r="I232" s="26"/>
      <c r="J232" s="37"/>
      <c r="K232" s="26"/>
      <c r="L232" s="107"/>
      <c r="M232" s="26"/>
      <c r="N232" s="40"/>
      <c r="O232" s="28">
        <f>Table16[[#This Row],[پیشکي]]-Table16[[#This Row],[د ۵۰ ٪ کرایی درکه]]</f>
        <v>0</v>
      </c>
    </row>
    <row r="233" spans="1:15">
      <c r="A233" s="41"/>
      <c r="B233" s="43"/>
      <c r="C233" s="26"/>
      <c r="D233" s="26"/>
      <c r="E233" s="26"/>
      <c r="F233" s="26"/>
      <c r="G233" s="26"/>
      <c r="H233" s="26"/>
      <c r="I233" s="26"/>
      <c r="J233" s="37"/>
      <c r="K233" s="26"/>
      <c r="L233" s="107"/>
      <c r="M233" s="26"/>
      <c r="N233" s="40"/>
      <c r="O233" s="28">
        <f>Table16[[#This Row],[پیشکي]]-Table16[[#This Row],[د ۵۰ ٪ کرایی درکه]]</f>
        <v>0</v>
      </c>
    </row>
    <row r="234" spans="1:15">
      <c r="A234" s="41"/>
      <c r="B234" s="43"/>
      <c r="C234" s="26"/>
      <c r="D234" s="26"/>
      <c r="E234" s="26"/>
      <c r="F234" s="26"/>
      <c r="G234" s="26"/>
      <c r="H234" s="26"/>
      <c r="I234" s="26"/>
      <c r="J234" s="37"/>
      <c r="K234" s="26"/>
      <c r="L234" s="107"/>
      <c r="M234" s="26"/>
      <c r="N234" s="40"/>
      <c r="O234" s="28">
        <f>Table16[[#This Row],[پیشکي]]-Table16[[#This Row],[د ۵۰ ٪ کرایی درکه]]</f>
        <v>0</v>
      </c>
    </row>
    <row r="235" spans="1:15">
      <c r="A235" s="41"/>
      <c r="B235" s="43"/>
      <c r="C235" s="26"/>
      <c r="D235" s="26"/>
      <c r="E235" s="26"/>
      <c r="F235" s="26"/>
      <c r="G235" s="26"/>
      <c r="H235" s="26"/>
      <c r="I235" s="26"/>
      <c r="J235" s="37"/>
      <c r="K235" s="26"/>
      <c r="L235" s="107"/>
      <c r="M235" s="26"/>
      <c r="N235" s="40"/>
      <c r="O235" s="28">
        <f>Table16[[#This Row],[پیشکي]]-Table16[[#This Row],[د ۵۰ ٪ کرایی درکه]]</f>
        <v>0</v>
      </c>
    </row>
    <row r="236" spans="1:15">
      <c r="A236" s="41"/>
      <c r="B236" s="43"/>
      <c r="C236" s="26"/>
      <c r="D236" s="26"/>
      <c r="E236" s="26"/>
      <c r="F236" s="26"/>
      <c r="G236" s="26"/>
      <c r="H236" s="26"/>
      <c r="I236" s="26"/>
      <c r="J236" s="37"/>
      <c r="K236" s="26"/>
      <c r="L236" s="107"/>
      <c r="M236" s="26"/>
      <c r="N236" s="40"/>
      <c r="O236" s="28">
        <f>Table16[[#This Row],[پیشکي]]-Table16[[#This Row],[د ۵۰ ٪ کرایی درکه]]</f>
        <v>0</v>
      </c>
    </row>
    <row r="237" spans="1:15">
      <c r="A237" s="41"/>
      <c r="B237" s="43"/>
      <c r="C237" s="26"/>
      <c r="D237" s="26"/>
      <c r="E237" s="26"/>
      <c r="F237" s="26"/>
      <c r="G237" s="26"/>
      <c r="H237" s="26"/>
      <c r="I237" s="26"/>
      <c r="J237" s="37"/>
      <c r="K237" s="26"/>
      <c r="L237" s="107"/>
      <c r="M237" s="26"/>
      <c r="N237" s="40"/>
      <c r="O237" s="28">
        <f>Table16[[#This Row],[پیشکي]]-Table16[[#This Row],[د ۵۰ ٪ کرایی درکه]]</f>
        <v>0</v>
      </c>
    </row>
    <row r="238" spans="1:15">
      <c r="A238" s="41"/>
      <c r="B238" s="43"/>
      <c r="C238" s="26"/>
      <c r="D238" s="26"/>
      <c r="E238" s="26"/>
      <c r="F238" s="26"/>
      <c r="G238" s="26"/>
      <c r="H238" s="26"/>
      <c r="I238" s="26"/>
      <c r="J238" s="37"/>
      <c r="K238" s="26"/>
      <c r="L238" s="107"/>
      <c r="M238" s="26"/>
      <c r="N238" s="40"/>
      <c r="O238" s="28">
        <f>Table16[[#This Row],[پیشکي]]-Table16[[#This Row],[د ۵۰ ٪ کرایی درکه]]</f>
        <v>0</v>
      </c>
    </row>
    <row r="239" spans="1:15">
      <c r="A239" s="41"/>
      <c r="B239" s="43"/>
      <c r="C239" s="26"/>
      <c r="D239" s="26"/>
      <c r="E239" s="26"/>
      <c r="F239" s="26"/>
      <c r="G239" s="26"/>
      <c r="H239" s="26"/>
      <c r="I239" s="26"/>
      <c r="J239" s="37"/>
      <c r="K239" s="26"/>
      <c r="L239" s="107"/>
      <c r="M239" s="26"/>
      <c r="N239" s="40"/>
      <c r="O239" s="28">
        <f>Table16[[#This Row],[پیشکي]]-Table16[[#This Row],[د ۵۰ ٪ کرایی درکه]]</f>
        <v>0</v>
      </c>
    </row>
    <row r="240" spans="1:15">
      <c r="A240" s="41"/>
      <c r="B240" s="43"/>
      <c r="C240" s="26"/>
      <c r="D240" s="26"/>
      <c r="E240" s="26"/>
      <c r="F240" s="26"/>
      <c r="G240" s="26"/>
      <c r="H240" s="26"/>
      <c r="I240" s="26"/>
      <c r="J240" s="37"/>
      <c r="K240" s="26"/>
      <c r="L240" s="107"/>
      <c r="M240" s="26"/>
      <c r="N240" s="40"/>
      <c r="O240" s="28">
        <f>Table16[[#This Row],[پیشکي]]-Table16[[#This Row],[د ۵۰ ٪ کرایی درکه]]</f>
        <v>0</v>
      </c>
    </row>
    <row r="241" spans="1:15">
      <c r="A241" s="41"/>
      <c r="B241" s="43"/>
      <c r="C241" s="26"/>
      <c r="D241" s="26"/>
      <c r="E241" s="26"/>
      <c r="F241" s="26"/>
      <c r="G241" s="26"/>
      <c r="H241" s="26"/>
      <c r="I241" s="26"/>
      <c r="J241" s="37"/>
      <c r="K241" s="26"/>
      <c r="L241" s="107"/>
      <c r="M241" s="26"/>
      <c r="N241" s="40"/>
      <c r="O241" s="28">
        <f>Table16[[#This Row],[پیشکي]]-Table16[[#This Row],[د ۵۰ ٪ کرایی درکه]]</f>
        <v>0</v>
      </c>
    </row>
    <row r="242" spans="1:15">
      <c r="A242" s="41"/>
      <c r="B242" s="43"/>
      <c r="C242" s="26"/>
      <c r="D242" s="26"/>
      <c r="E242" s="26"/>
      <c r="F242" s="26"/>
      <c r="G242" s="26"/>
      <c r="H242" s="26"/>
      <c r="I242" s="26"/>
      <c r="J242" s="37"/>
      <c r="K242" s="26"/>
      <c r="L242" s="107"/>
      <c r="M242" s="26"/>
      <c r="N242" s="40"/>
      <c r="O242" s="28">
        <f>Table16[[#This Row],[پیشکي]]-Table16[[#This Row],[د ۵۰ ٪ کرایی درکه]]</f>
        <v>0</v>
      </c>
    </row>
    <row r="243" spans="1:15">
      <c r="A243" s="41"/>
      <c r="B243" s="43"/>
      <c r="C243" s="26"/>
      <c r="D243" s="26"/>
      <c r="E243" s="26"/>
      <c r="F243" s="26"/>
      <c r="G243" s="26"/>
      <c r="H243" s="26"/>
      <c r="I243" s="26"/>
      <c r="J243" s="37"/>
      <c r="K243" s="26"/>
      <c r="L243" s="107"/>
      <c r="M243" s="26"/>
      <c r="N243" s="40"/>
      <c r="O243" s="28">
        <f>Table16[[#This Row],[پیشکي]]-Table16[[#This Row],[د ۵۰ ٪ کرایی درکه]]</f>
        <v>0</v>
      </c>
    </row>
    <row r="244" spans="1:15">
      <c r="A244" s="41"/>
      <c r="B244" s="43"/>
      <c r="C244" s="26"/>
      <c r="D244" s="26"/>
      <c r="E244" s="26"/>
      <c r="F244" s="26"/>
      <c r="G244" s="26"/>
      <c r="H244" s="26"/>
      <c r="I244" s="26"/>
      <c r="J244" s="37"/>
      <c r="K244" s="26"/>
      <c r="L244" s="107"/>
      <c r="M244" s="26"/>
      <c r="N244" s="40"/>
      <c r="O244" s="28">
        <f>Table16[[#This Row],[پیشکي]]-Table16[[#This Row],[د ۵۰ ٪ کرایی درکه]]</f>
        <v>0</v>
      </c>
    </row>
    <row r="245" spans="1:15">
      <c r="A245" s="41"/>
      <c r="B245" s="43"/>
      <c r="C245" s="26"/>
      <c r="D245" s="26"/>
      <c r="E245" s="26"/>
      <c r="F245" s="26"/>
      <c r="G245" s="26"/>
      <c r="H245" s="26"/>
      <c r="I245" s="26"/>
      <c r="J245" s="37"/>
      <c r="K245" s="26"/>
      <c r="L245" s="107"/>
      <c r="M245" s="26"/>
      <c r="N245" s="40"/>
      <c r="O245" s="28">
        <f>Table16[[#This Row],[پیشکي]]-Table16[[#This Row],[د ۵۰ ٪ کرایی درکه]]</f>
        <v>0</v>
      </c>
    </row>
    <row r="246" spans="1:15">
      <c r="A246" s="41"/>
      <c r="B246" s="43"/>
      <c r="C246" s="26"/>
      <c r="D246" s="26"/>
      <c r="E246" s="26"/>
      <c r="F246" s="26"/>
      <c r="G246" s="26"/>
      <c r="H246" s="26"/>
      <c r="I246" s="26"/>
      <c r="J246" s="37"/>
      <c r="K246" s="26"/>
      <c r="L246" s="107"/>
      <c r="M246" s="26"/>
      <c r="N246" s="40"/>
      <c r="O246" s="28">
        <f>Table16[[#This Row],[پیشکي]]-Table16[[#This Row],[د ۵۰ ٪ کرایی درکه]]</f>
        <v>0</v>
      </c>
    </row>
    <row r="247" spans="1:15">
      <c r="A247" s="41"/>
      <c r="B247" s="43"/>
      <c r="C247" s="26"/>
      <c r="D247" s="26"/>
      <c r="E247" s="26"/>
      <c r="F247" s="26"/>
      <c r="G247" s="26"/>
      <c r="H247" s="26"/>
      <c r="I247" s="26"/>
      <c r="J247" s="37"/>
      <c r="K247" s="26"/>
      <c r="L247" s="107"/>
      <c r="M247" s="26"/>
      <c r="N247" s="40"/>
      <c r="O247" s="28">
        <f>Table16[[#This Row],[پیشکي]]-Table16[[#This Row],[د ۵۰ ٪ کرایی درکه]]</f>
        <v>0</v>
      </c>
    </row>
    <row r="248" spans="1:15">
      <c r="A248" s="41"/>
      <c r="B248" s="43"/>
      <c r="C248" s="26"/>
      <c r="D248" s="26"/>
      <c r="E248" s="26"/>
      <c r="F248" s="26"/>
      <c r="G248" s="26"/>
      <c r="H248" s="26"/>
      <c r="I248" s="26"/>
      <c r="J248" s="37"/>
      <c r="K248" s="26"/>
      <c r="L248" s="107"/>
      <c r="M248" s="26"/>
      <c r="N248" s="40"/>
      <c r="O248" s="28">
        <f>Table16[[#This Row],[پیشکي]]-Table16[[#This Row],[د ۵۰ ٪ کرایی درکه]]</f>
        <v>0</v>
      </c>
    </row>
    <row r="249" spans="1:15">
      <c r="A249" s="41"/>
      <c r="B249" s="43"/>
      <c r="C249" s="26"/>
      <c r="D249" s="26"/>
      <c r="E249" s="26"/>
      <c r="F249" s="26"/>
      <c r="G249" s="26"/>
      <c r="H249" s="26"/>
      <c r="I249" s="26"/>
      <c r="J249" s="37"/>
      <c r="K249" s="26"/>
      <c r="L249" s="107"/>
      <c r="M249" s="26"/>
      <c r="N249" s="40"/>
      <c r="O249" s="28">
        <f>Table16[[#This Row],[پیشکي]]-Table16[[#This Row],[د ۵۰ ٪ کرایی درکه]]</f>
        <v>0</v>
      </c>
    </row>
    <row r="250" spans="1:15">
      <c r="A250" s="41"/>
      <c r="B250" s="43"/>
      <c r="C250" s="26"/>
      <c r="D250" s="26"/>
      <c r="E250" s="26"/>
      <c r="F250" s="26"/>
      <c r="G250" s="26"/>
      <c r="H250" s="26"/>
      <c r="I250" s="26"/>
      <c r="J250" s="37"/>
      <c r="K250" s="26"/>
      <c r="L250" s="107"/>
      <c r="M250" s="26"/>
      <c r="N250" s="40"/>
      <c r="O250" s="28">
        <f>Table16[[#This Row],[پیشکي]]-Table16[[#This Row],[د ۵۰ ٪ کرایی درکه]]</f>
        <v>0</v>
      </c>
    </row>
    <row r="251" spans="1:15">
      <c r="A251" s="41"/>
      <c r="B251" s="43"/>
      <c r="C251" s="26"/>
      <c r="D251" s="26"/>
      <c r="E251" s="26"/>
      <c r="F251" s="26"/>
      <c r="G251" s="26"/>
      <c r="H251" s="26"/>
      <c r="I251" s="26"/>
      <c r="J251" s="37"/>
      <c r="K251" s="26"/>
      <c r="L251" s="107"/>
      <c r="M251" s="26"/>
      <c r="N251" s="40"/>
      <c r="O251" s="28">
        <f>Table16[[#This Row],[پیشکي]]-Table16[[#This Row],[د ۵۰ ٪ کرایی درکه]]</f>
        <v>0</v>
      </c>
    </row>
    <row r="252" spans="1:15">
      <c r="A252" s="41"/>
      <c r="B252" s="43"/>
      <c r="C252" s="26"/>
      <c r="D252" s="26"/>
      <c r="E252" s="26"/>
      <c r="F252" s="26"/>
      <c r="G252" s="26"/>
      <c r="H252" s="26"/>
      <c r="I252" s="26"/>
      <c r="J252" s="37"/>
      <c r="K252" s="26"/>
      <c r="L252" s="107"/>
      <c r="M252" s="26"/>
      <c r="N252" s="40"/>
      <c r="O252" s="28">
        <f>Table16[[#This Row],[پیشکي]]-Table16[[#This Row],[د ۵۰ ٪ کرایی درکه]]</f>
        <v>0</v>
      </c>
    </row>
    <row r="253" spans="1:15">
      <c r="A253" s="41"/>
      <c r="B253" s="43"/>
      <c r="C253" s="26"/>
      <c r="D253" s="26"/>
      <c r="E253" s="26"/>
      <c r="F253" s="26"/>
      <c r="G253" s="26"/>
      <c r="H253" s="26"/>
      <c r="I253" s="26"/>
      <c r="J253" s="37"/>
      <c r="K253" s="26"/>
      <c r="L253" s="107"/>
      <c r="M253" s="26"/>
      <c r="N253" s="40"/>
      <c r="O253" s="28">
        <f>Table16[[#This Row],[پیشکي]]-Table16[[#This Row],[د ۵۰ ٪ کرایی درکه]]</f>
        <v>0</v>
      </c>
    </row>
    <row r="254" spans="1:15">
      <c r="A254" s="41"/>
      <c r="B254" s="43"/>
      <c r="C254" s="26"/>
      <c r="D254" s="26"/>
      <c r="E254" s="26"/>
      <c r="F254" s="26"/>
      <c r="G254" s="26"/>
      <c r="H254" s="26"/>
      <c r="I254" s="26"/>
      <c r="J254" s="37"/>
      <c r="K254" s="26"/>
      <c r="L254" s="107"/>
      <c r="M254" s="26"/>
      <c r="N254" s="40"/>
      <c r="O254" s="28">
        <f>Table16[[#This Row],[پیشکي]]-Table16[[#This Row],[د ۵۰ ٪ کرایی درکه]]</f>
        <v>0</v>
      </c>
    </row>
    <row r="255" spans="1:15">
      <c r="A255" s="41"/>
      <c r="B255" s="43"/>
      <c r="C255" s="26"/>
      <c r="D255" s="26"/>
      <c r="E255" s="26"/>
      <c r="F255" s="26"/>
      <c r="G255" s="26"/>
      <c r="H255" s="26"/>
      <c r="I255" s="26"/>
      <c r="J255" s="37"/>
      <c r="K255" s="26"/>
      <c r="L255" s="107"/>
      <c r="M255" s="26"/>
      <c r="N255" s="40"/>
      <c r="O255" s="28">
        <f>Table16[[#This Row],[پیشکي]]-Table16[[#This Row],[د ۵۰ ٪ کرایی درکه]]</f>
        <v>0</v>
      </c>
    </row>
    <row r="256" spans="1:15">
      <c r="A256" s="41"/>
      <c r="B256" s="43"/>
      <c r="C256" s="26"/>
      <c r="D256" s="26"/>
      <c r="E256" s="26"/>
      <c r="F256" s="26"/>
      <c r="G256" s="26"/>
      <c r="H256" s="26"/>
      <c r="I256" s="26"/>
      <c r="J256" s="37"/>
      <c r="K256" s="26"/>
      <c r="L256" s="107"/>
      <c r="M256" s="26"/>
      <c r="N256" s="40"/>
      <c r="O256" s="28">
        <f>Table16[[#This Row],[پیشکي]]-Table16[[#This Row],[د ۵۰ ٪ کرایی درکه]]</f>
        <v>0</v>
      </c>
    </row>
    <row r="257" spans="1:15">
      <c r="A257" s="41"/>
      <c r="B257" s="43"/>
      <c r="C257" s="26"/>
      <c r="D257" s="26"/>
      <c r="E257" s="26"/>
      <c r="F257" s="26"/>
      <c r="G257" s="26"/>
      <c r="H257" s="26"/>
      <c r="I257" s="26"/>
      <c r="J257" s="37"/>
      <c r="K257" s="26"/>
      <c r="L257" s="107"/>
      <c r="M257" s="26"/>
      <c r="N257" s="40"/>
      <c r="O257" s="28">
        <f>Table16[[#This Row],[پیشکي]]-Table16[[#This Row],[د ۵۰ ٪ کرایی درکه]]</f>
        <v>0</v>
      </c>
    </row>
    <row r="258" spans="1:15">
      <c r="A258" s="41"/>
      <c r="B258" s="43"/>
      <c r="C258" s="26"/>
      <c r="D258" s="26"/>
      <c r="E258" s="26"/>
      <c r="F258" s="26"/>
      <c r="G258" s="26"/>
      <c r="H258" s="26"/>
      <c r="I258" s="26"/>
      <c r="J258" s="37"/>
      <c r="K258" s="26"/>
      <c r="L258" s="107"/>
      <c r="M258" s="26"/>
      <c r="N258" s="40"/>
      <c r="O258" s="28">
        <f>Table16[[#This Row],[پیشکي]]-Table16[[#This Row],[د ۵۰ ٪ کرایی درکه]]</f>
        <v>0</v>
      </c>
    </row>
    <row r="259" spans="1:15">
      <c r="A259" s="41"/>
      <c r="B259" s="43"/>
      <c r="C259" s="26"/>
      <c r="D259" s="26"/>
      <c r="E259" s="26"/>
      <c r="F259" s="26"/>
      <c r="G259" s="26"/>
      <c r="H259" s="26"/>
      <c r="I259" s="26"/>
      <c r="J259" s="37"/>
      <c r="K259" s="26"/>
      <c r="L259" s="107"/>
      <c r="M259" s="26"/>
      <c r="N259" s="40"/>
      <c r="O259" s="28">
        <f>Table16[[#This Row],[پیشکي]]-Table16[[#This Row],[د ۵۰ ٪ کرایی درکه]]</f>
        <v>0</v>
      </c>
    </row>
    <row r="260" spans="1:15">
      <c r="A260" s="41"/>
      <c r="B260" s="43"/>
      <c r="C260" s="26"/>
      <c r="D260" s="26"/>
      <c r="E260" s="26"/>
      <c r="F260" s="26"/>
      <c r="G260" s="26"/>
      <c r="H260" s="26"/>
      <c r="I260" s="26"/>
      <c r="J260" s="37"/>
      <c r="K260" s="26"/>
      <c r="L260" s="107"/>
      <c r="M260" s="26"/>
      <c r="N260" s="40"/>
      <c r="O260" s="28">
        <f>Table16[[#This Row],[پیشکي]]-Table16[[#This Row],[د ۵۰ ٪ کرایی درکه]]</f>
        <v>0</v>
      </c>
    </row>
    <row r="261" spans="1:15">
      <c r="A261" s="41"/>
      <c r="B261" s="43"/>
      <c r="C261" s="26"/>
      <c r="D261" s="26"/>
      <c r="E261" s="26"/>
      <c r="F261" s="26"/>
      <c r="G261" s="26"/>
      <c r="H261" s="26"/>
      <c r="I261" s="26"/>
      <c r="J261" s="37"/>
      <c r="K261" s="26"/>
      <c r="L261" s="107"/>
      <c r="M261" s="26"/>
      <c r="N261" s="40"/>
      <c r="O261" s="28">
        <f>Table16[[#This Row],[پیشکي]]-Table16[[#This Row],[د ۵۰ ٪ کرایی درکه]]</f>
        <v>0</v>
      </c>
    </row>
    <row r="262" spans="1:15">
      <c r="A262" s="41"/>
      <c r="B262" s="43"/>
      <c r="C262" s="26"/>
      <c r="D262" s="26"/>
      <c r="E262" s="26"/>
      <c r="F262" s="26"/>
      <c r="G262" s="26"/>
      <c r="H262" s="26"/>
      <c r="I262" s="26"/>
      <c r="J262" s="37"/>
      <c r="K262" s="26"/>
      <c r="L262" s="107"/>
      <c r="M262" s="26"/>
      <c r="N262" s="40"/>
      <c r="O262" s="28">
        <f>Table16[[#This Row],[پیشکي]]-Table16[[#This Row],[د ۵۰ ٪ کرایی درکه]]</f>
        <v>0</v>
      </c>
    </row>
    <row r="263" spans="1:15">
      <c r="A263" s="41"/>
      <c r="B263" s="43"/>
      <c r="C263" s="26"/>
      <c r="D263" s="26"/>
      <c r="E263" s="26"/>
      <c r="F263" s="26"/>
      <c r="G263" s="26"/>
      <c r="H263" s="26"/>
      <c r="I263" s="26"/>
      <c r="J263" s="37"/>
      <c r="K263" s="26"/>
      <c r="L263" s="107"/>
      <c r="M263" s="26"/>
      <c r="N263" s="40"/>
      <c r="O263" s="28">
        <f>Table16[[#This Row],[پیشکي]]-Table16[[#This Row],[د ۵۰ ٪ کرایی درکه]]</f>
        <v>0</v>
      </c>
    </row>
    <row r="264" spans="1:15">
      <c r="A264" s="41"/>
      <c r="B264" s="43"/>
      <c r="C264" s="26"/>
      <c r="D264" s="26"/>
      <c r="E264" s="26"/>
      <c r="F264" s="26"/>
      <c r="G264" s="26"/>
      <c r="H264" s="26"/>
      <c r="I264" s="26"/>
      <c r="J264" s="37"/>
      <c r="K264" s="26"/>
      <c r="L264" s="107"/>
      <c r="M264" s="26"/>
      <c r="N264" s="40"/>
      <c r="O264" s="28">
        <f>Table16[[#This Row],[پیشکي]]-Table16[[#This Row],[د ۵۰ ٪ کرایی درکه]]</f>
        <v>0</v>
      </c>
    </row>
    <row r="265" spans="1:15">
      <c r="A265" s="41"/>
      <c r="B265" s="43"/>
      <c r="C265" s="26"/>
      <c r="D265" s="26"/>
      <c r="E265" s="26"/>
      <c r="F265" s="26"/>
      <c r="G265" s="26"/>
      <c r="H265" s="26"/>
      <c r="I265" s="26"/>
      <c r="J265" s="37"/>
      <c r="K265" s="26"/>
      <c r="L265" s="107"/>
      <c r="M265" s="26"/>
      <c r="N265" s="40"/>
      <c r="O265" s="28">
        <f>Table16[[#This Row],[پیشکي]]-Table16[[#This Row],[د ۵۰ ٪ کرایی درکه]]</f>
        <v>0</v>
      </c>
    </row>
    <row r="266" spans="1:15">
      <c r="A266" s="41"/>
      <c r="B266" s="43"/>
      <c r="C266" s="26"/>
      <c r="D266" s="26"/>
      <c r="E266" s="26"/>
      <c r="F266" s="26"/>
      <c r="G266" s="26"/>
      <c r="H266" s="26"/>
      <c r="I266" s="26"/>
      <c r="J266" s="37"/>
      <c r="K266" s="26"/>
      <c r="L266" s="107"/>
      <c r="M266" s="26"/>
      <c r="N266" s="40"/>
      <c r="O266" s="28">
        <f>Table16[[#This Row],[پیشکي]]-Table16[[#This Row],[د ۵۰ ٪ کرایی درکه]]</f>
        <v>0</v>
      </c>
    </row>
    <row r="267" spans="1:15">
      <c r="A267" s="41"/>
      <c r="B267" s="43"/>
      <c r="C267" s="26"/>
      <c r="D267" s="26"/>
      <c r="E267" s="26"/>
      <c r="F267" s="26"/>
      <c r="G267" s="26"/>
      <c r="H267" s="26"/>
      <c r="I267" s="26"/>
      <c r="J267" s="37"/>
      <c r="K267" s="26"/>
      <c r="L267" s="107"/>
      <c r="M267" s="26"/>
      <c r="N267" s="40"/>
      <c r="O267" s="28">
        <f>Table16[[#This Row],[پیشکي]]-Table16[[#This Row],[د ۵۰ ٪ کرایی درکه]]</f>
        <v>0</v>
      </c>
    </row>
    <row r="268" spans="1:15">
      <c r="A268" s="41"/>
      <c r="B268" s="43"/>
      <c r="C268" s="26"/>
      <c r="D268" s="26"/>
      <c r="E268" s="26"/>
      <c r="F268" s="26"/>
      <c r="G268" s="26"/>
      <c r="H268" s="26"/>
      <c r="I268" s="26"/>
      <c r="J268" s="37"/>
      <c r="K268" s="26"/>
      <c r="L268" s="107"/>
      <c r="M268" s="26"/>
      <c r="N268" s="40"/>
      <c r="O268" s="28">
        <f>Table16[[#This Row],[پیشکي]]-Table16[[#This Row],[د ۵۰ ٪ کرایی درکه]]</f>
        <v>0</v>
      </c>
    </row>
    <row r="269" spans="1:15">
      <c r="A269" s="41"/>
      <c r="B269" s="43"/>
      <c r="C269" s="26"/>
      <c r="D269" s="26"/>
      <c r="E269" s="26"/>
      <c r="F269" s="26"/>
      <c r="G269" s="26"/>
      <c r="H269" s="26"/>
      <c r="I269" s="26"/>
      <c r="J269" s="37"/>
      <c r="K269" s="26"/>
      <c r="L269" s="107"/>
      <c r="M269" s="26"/>
      <c r="N269" s="40"/>
      <c r="O269" s="28">
        <f>Table16[[#This Row],[پیشکي]]-Table16[[#This Row],[د ۵۰ ٪ کرایی درکه]]</f>
        <v>0</v>
      </c>
    </row>
    <row r="270" spans="1:15">
      <c r="A270" s="41"/>
      <c r="B270" s="43"/>
      <c r="C270" s="26"/>
      <c r="D270" s="26"/>
      <c r="E270" s="26"/>
      <c r="F270" s="26"/>
      <c r="G270" s="26"/>
      <c r="H270" s="26"/>
      <c r="I270" s="26"/>
      <c r="J270" s="37"/>
      <c r="K270" s="26"/>
      <c r="L270" s="107"/>
      <c r="M270" s="26"/>
      <c r="N270" s="40"/>
      <c r="O270" s="28">
        <f>Table16[[#This Row],[پیشکي]]-Table16[[#This Row],[د ۵۰ ٪ کرایی درکه]]</f>
        <v>0</v>
      </c>
    </row>
    <row r="271" spans="1:15">
      <c r="A271" s="41"/>
      <c r="B271" s="43"/>
      <c r="C271" s="26"/>
      <c r="D271" s="26"/>
      <c r="E271" s="26"/>
      <c r="F271" s="26"/>
      <c r="G271" s="26"/>
      <c r="H271" s="26"/>
      <c r="I271" s="26"/>
      <c r="J271" s="37"/>
      <c r="K271" s="26"/>
      <c r="L271" s="107"/>
      <c r="M271" s="26"/>
      <c r="N271" s="40"/>
      <c r="O271" s="28">
        <f>Table16[[#This Row],[پیشکي]]-Table16[[#This Row],[د ۵۰ ٪ کرایی درکه]]</f>
        <v>0</v>
      </c>
    </row>
    <row r="272" spans="1:15">
      <c r="A272" s="41"/>
      <c r="B272" s="43"/>
      <c r="C272" s="26"/>
      <c r="D272" s="26"/>
      <c r="E272" s="26"/>
      <c r="F272" s="26"/>
      <c r="G272" s="26"/>
      <c r="H272" s="26"/>
      <c r="I272" s="26"/>
      <c r="J272" s="37"/>
      <c r="K272" s="26"/>
      <c r="L272" s="107"/>
      <c r="M272" s="26"/>
      <c r="N272" s="40"/>
      <c r="O272" s="28">
        <f>Table16[[#This Row],[پیشکي]]-Table16[[#This Row],[د ۵۰ ٪ کرایی درکه]]</f>
        <v>0</v>
      </c>
    </row>
    <row r="273" spans="1:15">
      <c r="A273" s="41"/>
      <c r="B273" s="43"/>
      <c r="C273" s="26"/>
      <c r="D273" s="26"/>
      <c r="E273" s="26"/>
      <c r="F273" s="26"/>
      <c r="G273" s="26"/>
      <c r="H273" s="26"/>
      <c r="I273" s="26"/>
      <c r="J273" s="37"/>
      <c r="K273" s="26"/>
      <c r="L273" s="107"/>
      <c r="M273" s="26"/>
      <c r="N273" s="40"/>
      <c r="O273" s="28">
        <f>Table16[[#This Row],[پیشکي]]-Table16[[#This Row],[د ۵۰ ٪ کرایی درکه]]</f>
        <v>0</v>
      </c>
    </row>
    <row r="274" spans="1:15">
      <c r="A274" s="41"/>
      <c r="B274" s="43"/>
      <c r="C274" s="26"/>
      <c r="D274" s="26"/>
      <c r="E274" s="26"/>
      <c r="F274" s="26"/>
      <c r="G274" s="26"/>
      <c r="H274" s="26"/>
      <c r="I274" s="26"/>
      <c r="J274" s="37"/>
      <c r="K274" s="26"/>
      <c r="L274" s="107"/>
      <c r="M274" s="26"/>
      <c r="N274" s="40"/>
      <c r="O274" s="28">
        <f>Table16[[#This Row],[پیشکي]]-Table16[[#This Row],[د ۵۰ ٪ کرایی درکه]]</f>
        <v>0</v>
      </c>
    </row>
    <row r="275" spans="1:15">
      <c r="A275" s="41"/>
      <c r="B275" s="43"/>
      <c r="C275" s="26"/>
      <c r="D275" s="26"/>
      <c r="E275" s="26"/>
      <c r="F275" s="26"/>
      <c r="G275" s="26"/>
      <c r="H275" s="26"/>
      <c r="I275" s="26"/>
      <c r="J275" s="37"/>
      <c r="K275" s="26"/>
      <c r="L275" s="107"/>
      <c r="M275" s="26"/>
      <c r="N275" s="40"/>
      <c r="O275" s="28">
        <f>Table16[[#This Row],[پیشکي]]-Table16[[#This Row],[د ۵۰ ٪ کرایی درکه]]</f>
        <v>0</v>
      </c>
    </row>
    <row r="276" spans="1:15">
      <c r="A276" s="41"/>
      <c r="B276" s="43"/>
      <c r="C276" s="26"/>
      <c r="D276" s="26"/>
      <c r="E276" s="26"/>
      <c r="F276" s="26"/>
      <c r="G276" s="26"/>
      <c r="H276" s="26"/>
      <c r="I276" s="26"/>
      <c r="J276" s="37"/>
      <c r="K276" s="26"/>
      <c r="L276" s="107"/>
      <c r="M276" s="26"/>
      <c r="N276" s="40"/>
      <c r="O276" s="28">
        <f>Table16[[#This Row],[پیشکي]]-Table16[[#This Row],[د ۵۰ ٪ کرایی درکه]]</f>
        <v>0</v>
      </c>
    </row>
    <row r="277" spans="1:15">
      <c r="A277" s="41"/>
      <c r="B277" s="43"/>
      <c r="C277" s="26"/>
      <c r="D277" s="26"/>
      <c r="E277" s="26"/>
      <c r="F277" s="26"/>
      <c r="G277" s="26"/>
      <c r="H277" s="26"/>
      <c r="I277" s="26"/>
      <c r="J277" s="37"/>
      <c r="K277" s="26"/>
      <c r="L277" s="107"/>
      <c r="M277" s="26"/>
      <c r="N277" s="40"/>
      <c r="O277" s="28">
        <f>Table16[[#This Row],[پیشکي]]-Table16[[#This Row],[د ۵۰ ٪ کرایی درکه]]</f>
        <v>0</v>
      </c>
    </row>
    <row r="278" spans="1:15">
      <c r="A278" s="41"/>
      <c r="B278" s="43"/>
      <c r="C278" s="26"/>
      <c r="D278" s="26"/>
      <c r="E278" s="26"/>
      <c r="F278" s="26"/>
      <c r="G278" s="26"/>
      <c r="H278" s="26"/>
      <c r="I278" s="26"/>
      <c r="J278" s="37"/>
      <c r="K278" s="26"/>
      <c r="L278" s="107"/>
      <c r="M278" s="26"/>
      <c r="N278" s="40"/>
      <c r="O278" s="28">
        <f>Table16[[#This Row],[پیشکي]]-Table16[[#This Row],[د ۵۰ ٪ کرایی درکه]]</f>
        <v>0</v>
      </c>
    </row>
    <row r="279" spans="1:15">
      <c r="A279" s="41"/>
      <c r="B279" s="43"/>
      <c r="C279" s="26"/>
      <c r="D279" s="26"/>
      <c r="E279" s="26"/>
      <c r="F279" s="26"/>
      <c r="G279" s="26"/>
      <c r="H279" s="26"/>
      <c r="I279" s="26"/>
      <c r="J279" s="37"/>
      <c r="K279" s="26"/>
      <c r="L279" s="107"/>
      <c r="M279" s="26"/>
      <c r="N279" s="40"/>
      <c r="O279" s="28">
        <f>Table16[[#This Row],[پیشکي]]-Table16[[#This Row],[د ۵۰ ٪ کرایی درکه]]</f>
        <v>0</v>
      </c>
    </row>
    <row r="280" spans="1:15">
      <c r="A280" s="41"/>
      <c r="B280" s="43"/>
      <c r="C280" s="26"/>
      <c r="D280" s="26"/>
      <c r="E280" s="26"/>
      <c r="F280" s="26"/>
      <c r="G280" s="26"/>
      <c r="H280" s="26"/>
      <c r="I280" s="26"/>
      <c r="J280" s="37"/>
      <c r="K280" s="26"/>
      <c r="L280" s="107"/>
      <c r="M280" s="26"/>
      <c r="N280" s="40"/>
      <c r="O280" s="28">
        <f>Table16[[#This Row],[پیشکي]]-Table16[[#This Row],[د ۵۰ ٪ کرایی درکه]]</f>
        <v>0</v>
      </c>
    </row>
    <row r="281" spans="1:15">
      <c r="A281" s="41"/>
      <c r="B281" s="43"/>
      <c r="C281" s="26"/>
      <c r="D281" s="26"/>
      <c r="E281" s="26"/>
      <c r="F281" s="26"/>
      <c r="G281" s="26"/>
      <c r="H281" s="26"/>
      <c r="I281" s="26"/>
      <c r="J281" s="37"/>
      <c r="K281" s="26"/>
      <c r="L281" s="107"/>
      <c r="M281" s="26"/>
      <c r="N281" s="40"/>
      <c r="O281" s="28">
        <f>Table16[[#This Row],[پیشکي]]-Table16[[#This Row],[د ۵۰ ٪ کرایی درکه]]</f>
        <v>0</v>
      </c>
    </row>
    <row r="282" spans="1:15">
      <c r="A282" s="41"/>
      <c r="B282" s="43"/>
      <c r="C282" s="26"/>
      <c r="D282" s="26"/>
      <c r="E282" s="26"/>
      <c r="F282" s="26"/>
      <c r="G282" s="26"/>
      <c r="H282" s="26"/>
      <c r="I282" s="26"/>
      <c r="J282" s="37"/>
      <c r="K282" s="26"/>
      <c r="L282" s="107"/>
      <c r="M282" s="26"/>
      <c r="N282" s="40"/>
      <c r="O282" s="28">
        <f>Table16[[#This Row],[پیشکي]]-Table16[[#This Row],[د ۵۰ ٪ کرایی درکه]]</f>
        <v>0</v>
      </c>
    </row>
    <row r="283" spans="1:15">
      <c r="A283" s="41"/>
      <c r="B283" s="43"/>
      <c r="C283" s="26"/>
      <c r="D283" s="26"/>
      <c r="E283" s="26"/>
      <c r="F283" s="26"/>
      <c r="G283" s="26"/>
      <c r="H283" s="26"/>
      <c r="I283" s="26"/>
      <c r="J283" s="37"/>
      <c r="K283" s="26"/>
      <c r="L283" s="107"/>
      <c r="M283" s="26"/>
      <c r="N283" s="40"/>
      <c r="O283" s="28">
        <f>Table16[[#This Row],[پیشکي]]-Table16[[#This Row],[د ۵۰ ٪ کرایی درکه]]</f>
        <v>0</v>
      </c>
    </row>
    <row r="284" spans="1:15">
      <c r="A284" s="41"/>
      <c r="B284" s="43"/>
      <c r="C284" s="26"/>
      <c r="D284" s="26"/>
      <c r="E284" s="26"/>
      <c r="F284" s="26"/>
      <c r="G284" s="26"/>
      <c r="H284" s="26"/>
      <c r="I284" s="26"/>
      <c r="J284" s="37"/>
      <c r="K284" s="26"/>
      <c r="L284" s="107"/>
      <c r="M284" s="26"/>
      <c r="N284" s="40"/>
      <c r="O284" s="28">
        <f>Table16[[#This Row],[پیشکي]]-Table16[[#This Row],[د ۵۰ ٪ کرایی درکه]]</f>
        <v>0</v>
      </c>
    </row>
    <row r="285" spans="1:15">
      <c r="A285" s="41"/>
      <c r="B285" s="43"/>
      <c r="C285" s="26"/>
      <c r="D285" s="26"/>
      <c r="E285" s="26"/>
      <c r="F285" s="26"/>
      <c r="G285" s="26"/>
      <c r="H285" s="26"/>
      <c r="I285" s="26"/>
      <c r="J285" s="37"/>
      <c r="K285" s="26"/>
      <c r="L285" s="107"/>
      <c r="M285" s="26"/>
      <c r="N285" s="40"/>
      <c r="O285" s="28">
        <f>Table16[[#This Row],[پیشکي]]-Table16[[#This Row],[د ۵۰ ٪ کرایی درکه]]</f>
        <v>0</v>
      </c>
    </row>
    <row r="286" spans="1:15">
      <c r="A286" s="41"/>
      <c r="B286" s="43"/>
      <c r="C286" s="26"/>
      <c r="D286" s="26"/>
      <c r="E286" s="26"/>
      <c r="F286" s="26"/>
      <c r="G286" s="26"/>
      <c r="H286" s="26"/>
      <c r="I286" s="26"/>
      <c r="J286" s="37"/>
      <c r="K286" s="26"/>
      <c r="L286" s="107"/>
      <c r="M286" s="26"/>
      <c r="N286" s="40"/>
      <c r="O286" s="28">
        <f>Table16[[#This Row],[پیشکي]]-Table16[[#This Row],[د ۵۰ ٪ کرایی درکه]]</f>
        <v>0</v>
      </c>
    </row>
    <row r="287" spans="1:15">
      <c r="A287" s="41"/>
      <c r="B287" s="43"/>
      <c r="C287" s="26"/>
      <c r="D287" s="26"/>
      <c r="E287" s="26"/>
      <c r="F287" s="26"/>
      <c r="G287" s="26"/>
      <c r="H287" s="26"/>
      <c r="I287" s="26"/>
      <c r="J287" s="37"/>
      <c r="K287" s="26"/>
      <c r="L287" s="107"/>
      <c r="M287" s="26"/>
      <c r="N287" s="40"/>
      <c r="O287" s="28">
        <f>Table16[[#This Row],[پیشکي]]-Table16[[#This Row],[د ۵۰ ٪ کرایی درکه]]</f>
        <v>0</v>
      </c>
    </row>
    <row r="288" spans="1:15">
      <c r="A288" s="41"/>
      <c r="B288" s="43"/>
      <c r="C288" s="26"/>
      <c r="D288" s="26"/>
      <c r="E288" s="26"/>
      <c r="F288" s="26"/>
      <c r="G288" s="26"/>
      <c r="H288" s="26"/>
      <c r="I288" s="26"/>
      <c r="J288" s="37"/>
      <c r="K288" s="26"/>
      <c r="L288" s="107"/>
      <c r="M288" s="26"/>
      <c r="N288" s="40"/>
      <c r="O288" s="28">
        <f>Table16[[#This Row],[پیشکي]]-Table16[[#This Row],[د ۵۰ ٪ کرایی درکه]]</f>
        <v>0</v>
      </c>
    </row>
    <row r="289" spans="1:15">
      <c r="A289" s="41"/>
      <c r="B289" s="43"/>
      <c r="C289" s="26"/>
      <c r="D289" s="26"/>
      <c r="E289" s="26"/>
      <c r="F289" s="26"/>
      <c r="G289" s="26"/>
      <c r="H289" s="26"/>
      <c r="I289" s="26"/>
      <c r="J289" s="37"/>
      <c r="K289" s="26"/>
      <c r="L289" s="107"/>
      <c r="M289" s="26"/>
      <c r="N289" s="40"/>
      <c r="O289" s="28">
        <f>Table16[[#This Row],[پیشکي]]-Table16[[#This Row],[د ۵۰ ٪ کرایی درکه]]</f>
        <v>0</v>
      </c>
    </row>
    <row r="290" spans="1:15">
      <c r="A290" s="41"/>
      <c r="B290" s="43"/>
      <c r="C290" s="26"/>
      <c r="D290" s="26"/>
      <c r="E290" s="26"/>
      <c r="F290" s="26"/>
      <c r="G290" s="26"/>
      <c r="H290" s="26"/>
      <c r="I290" s="26"/>
      <c r="J290" s="37"/>
      <c r="K290" s="26"/>
      <c r="L290" s="107"/>
      <c r="M290" s="26"/>
      <c r="N290" s="40"/>
      <c r="O290" s="28">
        <f>Table16[[#This Row],[پیشکي]]-Table16[[#This Row],[د ۵۰ ٪ کرایی درکه]]</f>
        <v>0</v>
      </c>
    </row>
    <row r="291" spans="1:15">
      <c r="A291" s="41"/>
      <c r="B291" s="43"/>
      <c r="C291" s="26"/>
      <c r="D291" s="26"/>
      <c r="E291" s="26"/>
      <c r="F291" s="26"/>
      <c r="G291" s="26"/>
      <c r="H291" s="26"/>
      <c r="I291" s="26"/>
      <c r="J291" s="37"/>
      <c r="K291" s="26"/>
      <c r="L291" s="107"/>
      <c r="M291" s="26"/>
      <c r="N291" s="40"/>
      <c r="O291" s="28">
        <f>Table16[[#This Row],[پیشکي]]-Table16[[#This Row],[د ۵۰ ٪ کرایی درکه]]</f>
        <v>0</v>
      </c>
    </row>
    <row r="292" spans="1:15">
      <c r="A292" s="41"/>
      <c r="B292" s="43"/>
      <c r="C292" s="26"/>
      <c r="D292" s="26"/>
      <c r="E292" s="26"/>
      <c r="F292" s="26"/>
      <c r="G292" s="26"/>
      <c r="H292" s="26"/>
      <c r="I292" s="26"/>
      <c r="J292" s="37"/>
      <c r="K292" s="26"/>
      <c r="L292" s="107"/>
      <c r="M292" s="26"/>
      <c r="N292" s="40"/>
      <c r="O292" s="28">
        <f>Table16[[#This Row],[پیشکي]]-Table16[[#This Row],[د ۵۰ ٪ کرایی درکه]]</f>
        <v>0</v>
      </c>
    </row>
    <row r="293" spans="1:15">
      <c r="A293" s="41"/>
      <c r="B293" s="43"/>
      <c r="C293" s="26"/>
      <c r="D293" s="26"/>
      <c r="E293" s="26"/>
      <c r="F293" s="26"/>
      <c r="G293" s="26"/>
      <c r="H293" s="26"/>
      <c r="I293" s="26"/>
      <c r="J293" s="37"/>
      <c r="K293" s="26"/>
      <c r="L293" s="107"/>
      <c r="M293" s="26"/>
      <c r="N293" s="40"/>
      <c r="O293" s="28">
        <f>Table16[[#This Row],[پیشکي]]-Table16[[#This Row],[د ۵۰ ٪ کرایی درکه]]</f>
        <v>0</v>
      </c>
    </row>
    <row r="294" spans="1:15">
      <c r="A294" s="41"/>
      <c r="B294" s="43"/>
      <c r="C294" s="26"/>
      <c r="D294" s="26"/>
      <c r="E294" s="26"/>
      <c r="F294" s="26"/>
      <c r="G294" s="26"/>
      <c r="H294" s="26"/>
      <c r="I294" s="26"/>
      <c r="J294" s="37"/>
      <c r="K294" s="26"/>
      <c r="L294" s="107"/>
      <c r="M294" s="26"/>
      <c r="N294" s="40"/>
      <c r="O294" s="28">
        <f>Table16[[#This Row],[پیشکي]]-Table16[[#This Row],[د ۵۰ ٪ کرایی درکه]]</f>
        <v>0</v>
      </c>
    </row>
    <row r="295" spans="1:15">
      <c r="A295" s="41"/>
      <c r="B295" s="43"/>
      <c r="C295" s="26"/>
      <c r="D295" s="26"/>
      <c r="E295" s="26"/>
      <c r="F295" s="26"/>
      <c r="G295" s="26"/>
      <c r="H295" s="26"/>
      <c r="I295" s="26"/>
      <c r="J295" s="37"/>
      <c r="K295" s="26"/>
      <c r="L295" s="107"/>
      <c r="M295" s="26"/>
      <c r="N295" s="40"/>
      <c r="O295" s="28">
        <f>Table16[[#This Row],[پیشکي]]-Table16[[#This Row],[د ۵۰ ٪ کرایی درکه]]</f>
        <v>0</v>
      </c>
    </row>
    <row r="296" spans="1:15">
      <c r="A296" s="41"/>
      <c r="B296" s="43"/>
      <c r="C296" s="26"/>
      <c r="D296" s="26"/>
      <c r="E296" s="26"/>
      <c r="F296" s="26"/>
      <c r="G296" s="26"/>
      <c r="H296" s="26"/>
      <c r="I296" s="26"/>
      <c r="J296" s="37"/>
      <c r="K296" s="26"/>
      <c r="L296" s="107"/>
      <c r="M296" s="26"/>
      <c r="N296" s="40"/>
      <c r="O296" s="28">
        <f>Table16[[#This Row],[پیشکي]]-Table16[[#This Row],[د ۵۰ ٪ کرایی درکه]]</f>
        <v>0</v>
      </c>
    </row>
    <row r="297" spans="1:15">
      <c r="A297" s="41"/>
      <c r="B297" s="43"/>
      <c r="C297" s="26"/>
      <c r="D297" s="26"/>
      <c r="E297" s="26"/>
      <c r="F297" s="26"/>
      <c r="G297" s="26"/>
      <c r="H297" s="26"/>
      <c r="I297" s="26"/>
      <c r="J297" s="37"/>
      <c r="K297" s="26"/>
      <c r="L297" s="107"/>
      <c r="M297" s="26"/>
      <c r="N297" s="40"/>
      <c r="O297" s="28">
        <f>Table16[[#This Row],[پیشکي]]-Table16[[#This Row],[د ۵۰ ٪ کرایی درکه]]</f>
        <v>0</v>
      </c>
    </row>
    <row r="298" spans="1:15">
      <c r="A298" s="41"/>
      <c r="B298" s="43"/>
      <c r="C298" s="26"/>
      <c r="D298" s="26"/>
      <c r="E298" s="26"/>
      <c r="F298" s="26"/>
      <c r="G298" s="26"/>
      <c r="H298" s="26"/>
      <c r="I298" s="26"/>
      <c r="J298" s="37"/>
      <c r="K298" s="26"/>
      <c r="L298" s="107" t="e">
        <f>Table1[[#This Row],[میاشتنی کرایه]]/2</f>
        <v>#VALUE!</v>
      </c>
      <c r="M298" s="26"/>
      <c r="N298" s="40"/>
      <c r="O298" s="28" t="e">
        <f>Table16[[#This Row],[پیشکي]]-Table16[[#This Row],[د ۵۰ ٪ کرایی درکه]]</f>
        <v>#VALUE!</v>
      </c>
    </row>
    <row r="299" spans="1:15">
      <c r="A299" s="41"/>
      <c r="B299" s="43"/>
      <c r="C299" s="26"/>
      <c r="D299" s="26"/>
      <c r="E299" s="26"/>
      <c r="F299" s="26"/>
      <c r="G299" s="26"/>
      <c r="H299" s="26"/>
      <c r="I299" s="26"/>
      <c r="J299" s="37"/>
      <c r="K299" s="26"/>
      <c r="L299" s="107" t="e">
        <f>Table1[[#This Row],[میاشتنی کرایه]]/2</f>
        <v>#VALUE!</v>
      </c>
      <c r="M299" s="26"/>
      <c r="N299" s="40"/>
      <c r="O299" s="28" t="e">
        <f>Table16[[#This Row],[پیشکي]]-Table16[[#This Row],[د ۵۰ ٪ کرایی درکه]]</f>
        <v>#VALUE!</v>
      </c>
    </row>
    <row r="300" spans="1:15">
      <c r="A300" s="41"/>
      <c r="B300" s="43"/>
      <c r="C300" s="26"/>
      <c r="D300" s="26"/>
      <c r="E300" s="26"/>
      <c r="F300" s="26"/>
      <c r="G300" s="26"/>
      <c r="H300" s="26"/>
      <c r="I300" s="26"/>
      <c r="J300" s="37"/>
      <c r="K300" s="26"/>
      <c r="L300" s="107" t="e">
        <f>Table1[[#This Row],[میاشتنی کرایه]]/2</f>
        <v>#VALUE!</v>
      </c>
      <c r="M300" s="26"/>
      <c r="N300" s="40"/>
      <c r="O300" s="28" t="e">
        <f>Table16[[#This Row],[پیشکي]]-Table16[[#This Row],[د ۵۰ ٪ کرایی درکه]]</f>
        <v>#VALUE!</v>
      </c>
    </row>
    <row r="301" spans="1:15">
      <c r="A301" s="41"/>
      <c r="B301" s="43"/>
      <c r="C301" s="26"/>
      <c r="D301" s="26"/>
      <c r="E301" s="26"/>
      <c r="F301" s="26"/>
      <c r="G301" s="26"/>
      <c r="H301" s="26"/>
      <c r="I301" s="26"/>
      <c r="J301" s="37"/>
      <c r="K301" s="26"/>
      <c r="L301" s="107" t="e">
        <f>Table1[[#This Row],[میاشتنی کرایه]]/2</f>
        <v>#VALUE!</v>
      </c>
      <c r="M301" s="26"/>
      <c r="N301" s="40"/>
      <c r="O301" s="28" t="e">
        <f>Table16[[#This Row],[پیشکي]]-Table16[[#This Row],[د ۵۰ ٪ کرایی درکه]]</f>
        <v>#VALUE!</v>
      </c>
    </row>
    <row r="302" spans="1:15">
      <c r="A302" s="41"/>
      <c r="B302" s="43"/>
      <c r="C302" s="26"/>
      <c r="D302" s="26"/>
      <c r="E302" s="26"/>
      <c r="F302" s="26"/>
      <c r="G302" s="26"/>
      <c r="H302" s="26"/>
      <c r="I302" s="26"/>
      <c r="J302" s="37"/>
      <c r="K302" s="26"/>
      <c r="L302" s="107" t="e">
        <f>Table1[[#This Row],[میاشتنی کرایه]]/2</f>
        <v>#VALUE!</v>
      </c>
      <c r="M302" s="26"/>
      <c r="N302" s="40"/>
      <c r="O302" s="28" t="e">
        <f>Table16[[#This Row],[پیشکي]]-Table16[[#This Row],[د ۵۰ ٪ کرایی درکه]]</f>
        <v>#VALUE!</v>
      </c>
    </row>
    <row r="303" spans="1:15">
      <c r="A303" s="41"/>
      <c r="B303" s="43"/>
      <c r="C303" s="26"/>
      <c r="D303" s="26"/>
      <c r="E303" s="26"/>
      <c r="F303" s="26"/>
      <c r="G303" s="26"/>
      <c r="H303" s="26"/>
      <c r="I303" s="26"/>
      <c r="J303" s="37"/>
      <c r="K303" s="26"/>
      <c r="L303" s="107" t="e">
        <f>Table1[[#This Row],[میاشتنی کرایه]]/2</f>
        <v>#VALUE!</v>
      </c>
      <c r="M303" s="26"/>
      <c r="N303" s="40"/>
      <c r="O303" s="28" t="e">
        <f>Table16[[#This Row],[پیشکي]]-Table16[[#This Row],[د ۵۰ ٪ کرایی درکه]]</f>
        <v>#VALUE!</v>
      </c>
    </row>
    <row r="304" spans="1:15">
      <c r="A304" s="41"/>
      <c r="B304" s="43"/>
      <c r="C304" s="26"/>
      <c r="D304" s="26"/>
      <c r="E304" s="26"/>
      <c r="F304" s="26"/>
      <c r="G304" s="26"/>
      <c r="H304" s="26"/>
      <c r="I304" s="26"/>
      <c r="J304" s="37"/>
      <c r="K304" s="26"/>
      <c r="L304" s="107" t="e">
        <f>Table1[[#This Row],[میاشتنی کرایه]]/2</f>
        <v>#VALUE!</v>
      </c>
      <c r="M304" s="26"/>
      <c r="N304" s="40"/>
      <c r="O304" s="28" t="e">
        <f>Table16[[#This Row],[پیشکي]]-Table16[[#This Row],[د ۵۰ ٪ کرایی درکه]]</f>
        <v>#VALUE!</v>
      </c>
    </row>
    <row r="305" spans="1:15">
      <c r="A305" s="41"/>
      <c r="B305" s="43"/>
      <c r="C305" s="26"/>
      <c r="D305" s="26"/>
      <c r="E305" s="26"/>
      <c r="F305" s="26"/>
      <c r="G305" s="26"/>
      <c r="H305" s="26"/>
      <c r="I305" s="26"/>
      <c r="J305" s="37"/>
      <c r="K305" s="26"/>
      <c r="L305" s="107" t="e">
        <f>Table1[[#This Row],[میاشتنی کرایه]]/2</f>
        <v>#VALUE!</v>
      </c>
      <c r="M305" s="26"/>
      <c r="N305" s="40"/>
      <c r="O305" s="28" t="e">
        <f>Table16[[#This Row],[پیشکي]]-Table16[[#This Row],[د ۵۰ ٪ کرایی درکه]]</f>
        <v>#VALUE!</v>
      </c>
    </row>
    <row r="306" spans="1:15">
      <c r="A306" s="41"/>
      <c r="B306" s="43"/>
      <c r="C306" s="26"/>
      <c r="D306" s="26"/>
      <c r="E306" s="26"/>
      <c r="F306" s="26"/>
      <c r="G306" s="26"/>
      <c r="H306" s="26"/>
      <c r="I306" s="26"/>
      <c r="J306" s="37"/>
      <c r="K306" s="26"/>
      <c r="L306" s="107" t="e">
        <f>Table1[[#This Row],[میاشتنی کرایه]]/2</f>
        <v>#VALUE!</v>
      </c>
      <c r="M306" s="26"/>
      <c r="N306" s="40"/>
      <c r="O306" s="28" t="e">
        <f>Table16[[#This Row],[پیشکي]]-Table16[[#This Row],[د ۵۰ ٪ کرایی درکه]]</f>
        <v>#VALUE!</v>
      </c>
    </row>
    <row r="307" spans="1:15">
      <c r="A307" s="41"/>
      <c r="B307" s="43"/>
      <c r="C307" s="26"/>
      <c r="D307" s="26"/>
      <c r="E307" s="26"/>
      <c r="F307" s="26"/>
      <c r="G307" s="26"/>
      <c r="H307" s="26"/>
      <c r="I307" s="26"/>
      <c r="J307" s="37"/>
      <c r="K307" s="26"/>
      <c r="L307" s="107" t="e">
        <f>Table1[[#This Row],[میاشتنی کرایه]]/2</f>
        <v>#VALUE!</v>
      </c>
      <c r="M307" s="26"/>
      <c r="N307" s="40"/>
      <c r="O307" s="28" t="e">
        <f>Table16[[#This Row],[پیشکي]]-Table16[[#This Row],[د ۵۰ ٪ کرایی درکه]]</f>
        <v>#VALUE!</v>
      </c>
    </row>
    <row r="308" spans="1:15">
      <c r="A308" s="41"/>
      <c r="B308" s="43"/>
      <c r="C308" s="26"/>
      <c r="D308" s="26"/>
      <c r="E308" s="26"/>
      <c r="F308" s="26"/>
      <c r="G308" s="26"/>
      <c r="H308" s="26"/>
      <c r="I308" s="26"/>
      <c r="J308" s="37"/>
      <c r="K308" s="26"/>
      <c r="L308" s="107" t="e">
        <f>Table1[[#This Row],[میاشتنی کرایه]]/2</f>
        <v>#VALUE!</v>
      </c>
      <c r="M308" s="26"/>
      <c r="N308" s="40"/>
      <c r="O308" s="28" t="e">
        <f>Table16[[#This Row],[پیشکي]]-Table16[[#This Row],[د ۵۰ ٪ کرایی درکه]]</f>
        <v>#VALUE!</v>
      </c>
    </row>
    <row r="309" spans="1:15">
      <c r="A309" s="41"/>
      <c r="B309" s="43"/>
      <c r="C309" s="26"/>
      <c r="D309" s="26"/>
      <c r="E309" s="26"/>
      <c r="F309" s="26"/>
      <c r="G309" s="26"/>
      <c r="H309" s="26"/>
      <c r="I309" s="26"/>
      <c r="J309" s="37"/>
      <c r="K309" s="26"/>
      <c r="L309" s="107" t="e">
        <f>Table1[[#This Row],[میاشتنی کرایه]]/2</f>
        <v>#VALUE!</v>
      </c>
      <c r="M309" s="26"/>
      <c r="N309" s="40"/>
      <c r="O309" s="28" t="e">
        <f>Table16[[#This Row],[پیشکي]]-Table16[[#This Row],[د ۵۰ ٪ کرایی درکه]]</f>
        <v>#VALUE!</v>
      </c>
    </row>
    <row r="310" spans="1:15">
      <c r="A310" s="41"/>
      <c r="B310" s="43"/>
      <c r="C310" s="26"/>
      <c r="D310" s="26"/>
      <c r="E310" s="26"/>
      <c r="F310" s="26"/>
      <c r="G310" s="26"/>
      <c r="H310" s="26"/>
      <c r="I310" s="26"/>
      <c r="J310" s="37"/>
      <c r="K310" s="26"/>
      <c r="L310" s="107" t="e">
        <f>Table1[[#This Row],[میاشتنی کرایه]]/2</f>
        <v>#VALUE!</v>
      </c>
      <c r="M310" s="26"/>
      <c r="N310" s="40"/>
      <c r="O310" s="28" t="e">
        <f>Table16[[#This Row],[پیشکي]]-Table16[[#This Row],[د ۵۰ ٪ کرایی درکه]]</f>
        <v>#VALUE!</v>
      </c>
    </row>
    <row r="311" spans="1:15">
      <c r="A311" s="41"/>
      <c r="B311" s="43"/>
      <c r="C311" s="26"/>
      <c r="D311" s="26"/>
      <c r="E311" s="26"/>
      <c r="F311" s="26"/>
      <c r="G311" s="26"/>
      <c r="H311" s="26"/>
      <c r="I311" s="26"/>
      <c r="J311" s="37"/>
      <c r="K311" s="26"/>
      <c r="L311" s="107" t="e">
        <f>Table1[[#This Row],[میاشتنی کرایه]]/2</f>
        <v>#VALUE!</v>
      </c>
      <c r="M311" s="26"/>
      <c r="N311" s="40"/>
      <c r="O311" s="28" t="e">
        <f>Table16[[#This Row],[پیشکي]]-Table16[[#This Row],[د ۵۰ ٪ کرایی درکه]]</f>
        <v>#VALUE!</v>
      </c>
    </row>
    <row r="312" spans="1:15">
      <c r="A312" s="41"/>
      <c r="B312" s="43"/>
      <c r="C312" s="26"/>
      <c r="D312" s="26"/>
      <c r="E312" s="26"/>
      <c r="F312" s="26"/>
      <c r="G312" s="26"/>
      <c r="H312" s="26"/>
      <c r="I312" s="26"/>
      <c r="J312" s="37"/>
      <c r="K312" s="26"/>
      <c r="L312" s="107" t="e">
        <f>Table1[[#This Row],[میاشتنی کرایه]]/2</f>
        <v>#VALUE!</v>
      </c>
      <c r="M312" s="26"/>
      <c r="N312" s="40"/>
      <c r="O312" s="28" t="e">
        <f>Table16[[#This Row],[پیشکي]]-Table16[[#This Row],[د ۵۰ ٪ کرایی درکه]]</f>
        <v>#VALUE!</v>
      </c>
    </row>
    <row r="313" spans="1:15">
      <c r="A313" s="41"/>
      <c r="B313" s="43"/>
      <c r="C313" s="26"/>
      <c r="D313" s="26"/>
      <c r="E313" s="26"/>
      <c r="F313" s="26"/>
      <c r="G313" s="26"/>
      <c r="H313" s="26"/>
      <c r="I313" s="26"/>
      <c r="J313" s="37"/>
      <c r="K313" s="26"/>
      <c r="L313" s="107" t="e">
        <f>Table1[[#This Row],[میاشتنی کرایه]]/2</f>
        <v>#VALUE!</v>
      </c>
      <c r="M313" s="26"/>
      <c r="N313" s="40"/>
      <c r="O313" s="28" t="e">
        <f>Table16[[#This Row],[پیشکي]]-Table16[[#This Row],[د ۵۰ ٪ کرایی درکه]]</f>
        <v>#VALUE!</v>
      </c>
    </row>
    <row r="314" spans="1:15">
      <c r="A314" s="41"/>
      <c r="B314" s="43"/>
      <c r="C314" s="26"/>
      <c r="D314" s="26"/>
      <c r="E314" s="26"/>
      <c r="F314" s="26"/>
      <c r="G314" s="26"/>
      <c r="H314" s="26"/>
      <c r="I314" s="26"/>
      <c r="J314" s="37"/>
      <c r="K314" s="26"/>
      <c r="L314" s="107" t="e">
        <f>Table1[[#This Row],[میاشتنی کرایه]]/2</f>
        <v>#VALUE!</v>
      </c>
      <c r="M314" s="26"/>
      <c r="N314" s="40"/>
      <c r="O314" s="28" t="e">
        <f>Table16[[#This Row],[پیشکي]]-Table16[[#This Row],[د ۵۰ ٪ کرایی درکه]]</f>
        <v>#VALUE!</v>
      </c>
    </row>
  </sheetData>
  <sheetProtection insertColumns="0" insertRows="0" deleteColumns="0" deleteRows="0"/>
  <mergeCells count="1">
    <mergeCell ref="A1:O1"/>
  </mergeCells>
  <pageMargins left="0.48" right="0.37" top="0.74" bottom="0.75" header="0.3" footer="0.3"/>
  <pageSetup scale="81" orientation="landscape" horizontalDpi="360" verticalDpi="360" r:id="rId1"/>
  <colBreaks count="1" manualBreakCount="1">
    <brk id="15" max="1048575" man="1"/>
  </colBreak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X85"/>
  <sheetViews>
    <sheetView rightToLeft="1" topLeftCell="A55" zoomScaleNormal="100" workbookViewId="0">
      <selection activeCell="N78" sqref="N78"/>
    </sheetView>
  </sheetViews>
  <sheetFormatPr defaultRowHeight="18"/>
  <cols>
    <col min="1" max="1" width="4.08203125" style="20" bestFit="1" customWidth="1"/>
    <col min="2" max="2" width="8.83203125" style="20" customWidth="1"/>
    <col min="3" max="3" width="2.9140625" style="20" customWidth="1"/>
    <col min="4" max="4" width="12.83203125" style="20" bestFit="1" customWidth="1"/>
    <col min="5" max="5" width="11.5" style="20" customWidth="1"/>
    <col min="6" max="7" width="11.5" style="20" hidden="1" customWidth="1"/>
    <col min="8" max="8" width="11.58203125" style="20" hidden="1" customWidth="1"/>
    <col min="9" max="9" width="5.08203125" style="20" hidden="1" customWidth="1"/>
    <col min="10" max="10" width="4.6640625" style="20" customWidth="1"/>
    <col min="11" max="11" width="14.1640625" style="20" customWidth="1"/>
    <col min="12" max="12" width="10.08203125" style="20" customWidth="1"/>
    <col min="13" max="13" width="9.83203125" style="20" customWidth="1"/>
    <col min="14" max="14" width="11" style="20" customWidth="1"/>
    <col min="15" max="15" width="8.58203125" bestFit="1" customWidth="1"/>
  </cols>
  <sheetData>
    <row r="1" spans="1:23" ht="56.25" customHeight="1">
      <c r="A1" s="245" t="s">
        <v>695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6" t="s">
        <v>700</v>
      </c>
      <c r="P1" s="246"/>
      <c r="Q1" s="246"/>
      <c r="R1" s="246"/>
      <c r="S1" s="246"/>
      <c r="T1" s="246"/>
      <c r="U1" s="246"/>
    </row>
    <row r="2" spans="1:23" s="48" customFormat="1" ht="53.25" customHeight="1">
      <c r="A2" s="47" t="s">
        <v>41</v>
      </c>
      <c r="B2" s="29" t="s">
        <v>40</v>
      </c>
      <c r="C2" s="29" t="s">
        <v>38</v>
      </c>
      <c r="D2" s="29" t="s">
        <v>42</v>
      </c>
      <c r="E2" s="29" t="s">
        <v>268</v>
      </c>
      <c r="F2" s="29" t="s">
        <v>506</v>
      </c>
      <c r="G2" s="29" t="s">
        <v>508</v>
      </c>
      <c r="H2" s="29" t="s">
        <v>487</v>
      </c>
      <c r="I2" s="29" t="s">
        <v>46</v>
      </c>
      <c r="J2" s="29" t="s">
        <v>39</v>
      </c>
      <c r="K2" s="29" t="s">
        <v>316</v>
      </c>
      <c r="L2" s="30" t="s">
        <v>417</v>
      </c>
      <c r="M2" s="30" t="s">
        <v>50</v>
      </c>
      <c r="N2" s="30" t="s">
        <v>45</v>
      </c>
      <c r="O2" s="106" t="s">
        <v>498</v>
      </c>
      <c r="P2" s="106" t="s">
        <v>499</v>
      </c>
      <c r="Q2" s="106" t="s">
        <v>500</v>
      </c>
      <c r="R2" s="106" t="s">
        <v>501</v>
      </c>
      <c r="S2" s="106" t="s">
        <v>502</v>
      </c>
      <c r="T2" s="106" t="s">
        <v>503</v>
      </c>
      <c r="U2" s="106" t="s">
        <v>504</v>
      </c>
    </row>
    <row r="3" spans="1:23" s="58" customFormat="1">
      <c r="A3" s="53">
        <v>1</v>
      </c>
      <c r="B3" s="54" t="s">
        <v>52</v>
      </c>
      <c r="C3" s="55"/>
      <c r="D3" s="54" t="s">
        <v>269</v>
      </c>
      <c r="E3" s="54" t="s">
        <v>270</v>
      </c>
      <c r="F3" s="54" t="s">
        <v>594</v>
      </c>
      <c r="G3" s="54" t="s">
        <v>541</v>
      </c>
      <c r="H3">
        <v>53226</v>
      </c>
      <c r="I3" s="54" t="s">
        <v>829</v>
      </c>
      <c r="J3" s="54" t="s">
        <v>271</v>
      </c>
      <c r="K3" s="56">
        <v>200000</v>
      </c>
      <c r="L3" s="57">
        <v>3000</v>
      </c>
      <c r="M3" s="57">
        <f>Table1[[#This Row],[میاشتنی کرایه]]/2</f>
        <v>1500</v>
      </c>
      <c r="N3" s="54">
        <v>772349861</v>
      </c>
      <c r="O3" s="103">
        <v>0</v>
      </c>
      <c r="P3" s="103"/>
      <c r="Q3" s="103"/>
      <c r="R3" s="103"/>
      <c r="S3" s="103"/>
      <c r="T3" s="103"/>
      <c r="U3" s="103"/>
    </row>
    <row r="4" spans="1:23" s="58" customFormat="1">
      <c r="A4" s="53">
        <v>2</v>
      </c>
      <c r="B4" s="54" t="s">
        <v>53</v>
      </c>
      <c r="C4" s="54"/>
      <c r="D4" s="54" t="s">
        <v>269</v>
      </c>
      <c r="E4" s="54" t="s">
        <v>270</v>
      </c>
      <c r="F4" s="54"/>
      <c r="G4" s="54"/>
      <c r="H4"/>
      <c r="I4" s="54" t="s">
        <v>829</v>
      </c>
      <c r="J4" s="54" t="s">
        <v>271</v>
      </c>
      <c r="K4" s="56">
        <v>200000</v>
      </c>
      <c r="L4" s="57">
        <v>3000</v>
      </c>
      <c r="M4" s="57">
        <f>Table1[[#This Row],[میاشتنی کرایه]]/2</f>
        <v>1500</v>
      </c>
      <c r="N4" s="54"/>
      <c r="O4" s="57">
        <v>0</v>
      </c>
      <c r="P4" s="57"/>
      <c r="Q4" s="57"/>
      <c r="R4" s="57"/>
      <c r="S4" s="57"/>
      <c r="T4" s="57"/>
      <c r="U4" s="57"/>
    </row>
    <row r="5" spans="1:23" s="58" customFormat="1">
      <c r="A5" s="53">
        <v>3</v>
      </c>
      <c r="B5" s="54" t="s">
        <v>54</v>
      </c>
      <c r="C5" s="54"/>
      <c r="D5" s="54" t="s">
        <v>269</v>
      </c>
      <c r="E5" s="54" t="s">
        <v>270</v>
      </c>
      <c r="F5" s="54"/>
      <c r="G5" s="54"/>
      <c r="H5"/>
      <c r="I5" s="54" t="s">
        <v>829</v>
      </c>
      <c r="J5" s="54" t="s">
        <v>271</v>
      </c>
      <c r="K5" s="56">
        <v>200000</v>
      </c>
      <c r="L5" s="57">
        <v>3000</v>
      </c>
      <c r="M5" s="57">
        <f>Table1[[#This Row],[میاشتنی کرایه]]/2</f>
        <v>1500</v>
      </c>
      <c r="N5" s="54"/>
      <c r="O5" s="57">
        <v>0</v>
      </c>
      <c r="P5" s="57"/>
      <c r="Q5" s="57"/>
      <c r="R5" s="57"/>
      <c r="S5" s="57"/>
      <c r="T5" s="57"/>
      <c r="U5" s="57"/>
    </row>
    <row r="6" spans="1:23">
      <c r="A6" s="25">
        <v>4</v>
      </c>
      <c r="B6" s="26" t="s">
        <v>55</v>
      </c>
      <c r="C6" s="26"/>
      <c r="D6" s="26" t="s">
        <v>272</v>
      </c>
      <c r="E6" s="26" t="s">
        <v>273</v>
      </c>
      <c r="F6" s="26" t="s">
        <v>595</v>
      </c>
      <c r="G6" s="26" t="s">
        <v>596</v>
      </c>
      <c r="H6">
        <v>22665521</v>
      </c>
      <c r="I6" s="54" t="s">
        <v>829</v>
      </c>
      <c r="J6" s="26" t="s">
        <v>271</v>
      </c>
      <c r="K6" s="36">
        <v>150000</v>
      </c>
      <c r="L6" s="57">
        <v>3000</v>
      </c>
      <c r="M6" s="57">
        <f>Table1[[#This Row],[میاشتنی کرایه]]/2</f>
        <v>1500</v>
      </c>
      <c r="N6" s="26">
        <v>76574054</v>
      </c>
      <c r="O6" s="35">
        <f>Table1[[#This Row],[پیشکي پیسی]]-Table1[[#This Row],[د ۵۰ ٪ کرایی درکه]]</f>
        <v>148500</v>
      </c>
      <c r="P6" s="35"/>
      <c r="Q6" s="35"/>
      <c r="R6" s="35"/>
      <c r="S6" s="35"/>
      <c r="T6" s="35"/>
      <c r="U6" s="35"/>
      <c r="W6">
        <v>4500</v>
      </c>
    </row>
    <row r="7" spans="1:23">
      <c r="A7" s="25">
        <v>5</v>
      </c>
      <c r="B7" s="26" t="s">
        <v>56</v>
      </c>
      <c r="C7" s="26"/>
      <c r="D7" s="26" t="s">
        <v>274</v>
      </c>
      <c r="E7" s="26" t="s">
        <v>275</v>
      </c>
      <c r="F7" s="26" t="s">
        <v>597</v>
      </c>
      <c r="G7" s="26" t="s">
        <v>598</v>
      </c>
      <c r="H7">
        <v>11808</v>
      </c>
      <c r="I7" s="54" t="s">
        <v>829</v>
      </c>
      <c r="J7" s="26" t="s">
        <v>271</v>
      </c>
      <c r="K7" s="37">
        <v>250000</v>
      </c>
      <c r="L7" s="57">
        <v>3000</v>
      </c>
      <c r="M7" s="57">
        <f>Table1[[#This Row],[میاشتنی کرایه]]/2</f>
        <v>1500</v>
      </c>
      <c r="N7" s="26"/>
      <c r="O7" s="35">
        <f>Table1[[#This Row],[پیشکي پیسی]]-Table1[[#This Row],[د ۵۰ ٪ کرایی درکه]]</f>
        <v>248500</v>
      </c>
      <c r="P7" s="35"/>
      <c r="Q7" s="35"/>
      <c r="R7" s="35"/>
      <c r="S7" s="35"/>
      <c r="T7" s="35"/>
      <c r="U7" s="35"/>
      <c r="W7">
        <v>1500</v>
      </c>
    </row>
    <row r="8" spans="1:23">
      <c r="A8" s="25">
        <v>6</v>
      </c>
      <c r="B8" s="26" t="s">
        <v>57</v>
      </c>
      <c r="C8" s="26"/>
      <c r="D8" s="26" t="s">
        <v>274</v>
      </c>
      <c r="E8" s="26" t="s">
        <v>275</v>
      </c>
      <c r="F8" s="26" t="s">
        <v>597</v>
      </c>
      <c r="G8" s="26" t="s">
        <v>598</v>
      </c>
      <c r="H8">
        <v>11808</v>
      </c>
      <c r="I8" s="54" t="s">
        <v>829</v>
      </c>
      <c r="J8" s="26" t="s">
        <v>271</v>
      </c>
      <c r="K8" s="37">
        <v>144500</v>
      </c>
      <c r="L8" s="57">
        <v>3000</v>
      </c>
      <c r="M8" s="57">
        <f>Table1[[#This Row],[میاشتنی کرایه]]/2</f>
        <v>1500</v>
      </c>
      <c r="N8" s="26"/>
      <c r="O8" s="35">
        <f>Table1[[#This Row],[پیشکي پیسی]]-Table1[[#This Row],[د ۵۰ ٪ کرایی درکه]]</f>
        <v>143000</v>
      </c>
      <c r="P8" s="35"/>
      <c r="Q8" s="35"/>
      <c r="R8" s="35"/>
      <c r="S8" s="35"/>
      <c r="T8" s="35"/>
      <c r="U8" s="35"/>
      <c r="W8">
        <v>1500</v>
      </c>
    </row>
    <row r="9" spans="1:23">
      <c r="A9" s="25">
        <v>7</v>
      </c>
      <c r="B9" s="26" t="s">
        <v>58</v>
      </c>
      <c r="C9" s="26"/>
      <c r="D9" s="26" t="s">
        <v>276</v>
      </c>
      <c r="E9" s="26" t="s">
        <v>717</v>
      </c>
      <c r="F9" s="26" t="s">
        <v>599</v>
      </c>
      <c r="G9" s="26" t="s">
        <v>600</v>
      </c>
      <c r="H9">
        <v>32669417</v>
      </c>
      <c r="I9" s="54" t="s">
        <v>829</v>
      </c>
      <c r="J9" s="26" t="s">
        <v>271</v>
      </c>
      <c r="K9" s="37">
        <v>169000</v>
      </c>
      <c r="L9" s="35">
        <v>2000</v>
      </c>
      <c r="M9" s="57">
        <f>Table1[[#This Row],[میاشتنی کرایه]]/2</f>
        <v>1000</v>
      </c>
      <c r="N9" s="26"/>
      <c r="O9" s="35">
        <f>Table1[[#This Row],[پیشکي پیسی]]-Table1[[#This Row],[د ۵۰ ٪ کرایی درکه]]</f>
        <v>168000</v>
      </c>
      <c r="P9" s="35"/>
      <c r="Q9" s="35"/>
      <c r="R9" s="35"/>
      <c r="S9" s="35"/>
      <c r="T9" s="35"/>
      <c r="U9" s="35"/>
      <c r="W9">
        <v>1500</v>
      </c>
    </row>
    <row r="10" spans="1:23" s="67" customFormat="1">
      <c r="A10" s="63">
        <v>8</v>
      </c>
      <c r="B10" s="64" t="s">
        <v>59</v>
      </c>
      <c r="C10" s="64"/>
      <c r="D10" s="64" t="s">
        <v>277</v>
      </c>
      <c r="E10" s="64" t="s">
        <v>278</v>
      </c>
      <c r="F10" s="64" t="s">
        <v>334</v>
      </c>
      <c r="G10" s="64" t="s">
        <v>541</v>
      </c>
      <c r="H10">
        <v>98258</v>
      </c>
      <c r="I10" s="54" t="s">
        <v>829</v>
      </c>
      <c r="J10" s="64" t="s">
        <v>271</v>
      </c>
      <c r="K10" s="65">
        <v>75000</v>
      </c>
      <c r="L10" s="35">
        <v>2000</v>
      </c>
      <c r="M10" s="57">
        <f>Table1[[#This Row],[میاشتنی کرایه]]/2</f>
        <v>1000</v>
      </c>
      <c r="N10" s="64"/>
      <c r="O10" s="66">
        <f>Table1[[#This Row],[پیشکي پیسی]]-Table1[[#This Row],[د ۵۰ ٪ کرایی درکه]]</f>
        <v>74000</v>
      </c>
      <c r="P10" s="66"/>
      <c r="Q10" s="66"/>
      <c r="R10" s="66"/>
      <c r="S10" s="66"/>
      <c r="T10" s="66"/>
      <c r="U10" s="66"/>
      <c r="W10" s="67">
        <v>1000</v>
      </c>
    </row>
    <row r="11" spans="1:23" s="67" customFormat="1">
      <c r="A11" s="63">
        <v>9</v>
      </c>
      <c r="B11" s="64" t="s">
        <v>60</v>
      </c>
      <c r="C11" s="64"/>
      <c r="D11" s="64" t="s">
        <v>277</v>
      </c>
      <c r="E11" s="64" t="s">
        <v>278</v>
      </c>
      <c r="F11" s="64"/>
      <c r="G11" s="64"/>
      <c r="H11"/>
      <c r="I11" s="54" t="s">
        <v>829</v>
      </c>
      <c r="J11" s="64" t="s">
        <v>271</v>
      </c>
      <c r="K11" s="65">
        <v>75000</v>
      </c>
      <c r="L11" s="35">
        <v>2000</v>
      </c>
      <c r="M11" s="57">
        <f>Table1[[#This Row],[میاشتنی کرایه]]/2</f>
        <v>1000</v>
      </c>
      <c r="N11" s="64"/>
      <c r="O11" s="66">
        <f>Table1[[#This Row],[پیشکي پیسی]]-Table1[[#This Row],[د ۵۰ ٪ کرایی درکه]]</f>
        <v>74000</v>
      </c>
      <c r="P11" s="66"/>
      <c r="Q11" s="66"/>
      <c r="R11" s="66"/>
      <c r="S11" s="66"/>
      <c r="T11" s="66"/>
      <c r="U11" s="66"/>
      <c r="W11" s="67">
        <v>2000</v>
      </c>
    </row>
    <row r="12" spans="1:23">
      <c r="A12" s="25">
        <v>10</v>
      </c>
      <c r="B12" s="26" t="s">
        <v>61</v>
      </c>
      <c r="C12" s="26"/>
      <c r="D12" s="26" t="s">
        <v>279</v>
      </c>
      <c r="E12" s="26" t="s">
        <v>280</v>
      </c>
      <c r="F12" s="26" t="s">
        <v>601</v>
      </c>
      <c r="G12" s="26" t="s">
        <v>602</v>
      </c>
      <c r="H12">
        <v>30707697</v>
      </c>
      <c r="I12" s="54" t="s">
        <v>829</v>
      </c>
      <c r="J12" s="26" t="s">
        <v>271</v>
      </c>
      <c r="K12" s="37">
        <v>100000</v>
      </c>
      <c r="L12" s="35">
        <v>2000</v>
      </c>
      <c r="M12" s="57">
        <f>Table1[[#This Row],[میاشتنی کرایه]]/2</f>
        <v>1000</v>
      </c>
      <c r="N12" s="26"/>
      <c r="O12" s="35">
        <f>Table1[[#This Row],[پیشکي پیسی]]-Table1[[#This Row],[د ۵۰ ٪ کرایی درکه]]</f>
        <v>99000</v>
      </c>
      <c r="P12" s="35"/>
      <c r="Q12" s="35"/>
      <c r="R12" s="35"/>
      <c r="S12" s="35"/>
      <c r="T12" s="35"/>
      <c r="U12" s="35"/>
      <c r="W12">
        <v>1000</v>
      </c>
    </row>
    <row r="13" spans="1:23">
      <c r="A13" s="25">
        <v>11</v>
      </c>
      <c r="B13" s="26" t="s">
        <v>62</v>
      </c>
      <c r="C13" s="26"/>
      <c r="D13" s="26" t="s">
        <v>307</v>
      </c>
      <c r="E13" s="26" t="s">
        <v>308</v>
      </c>
      <c r="F13" s="26" t="s">
        <v>430</v>
      </c>
      <c r="G13" s="26" t="s">
        <v>603</v>
      </c>
      <c r="H13">
        <v>30148495</v>
      </c>
      <c r="I13" s="54" t="s">
        <v>829</v>
      </c>
      <c r="J13" s="26" t="s">
        <v>271</v>
      </c>
      <c r="K13" s="37">
        <v>75000</v>
      </c>
      <c r="L13" s="35">
        <v>2000</v>
      </c>
      <c r="M13" s="57">
        <f>Table1[[#This Row],[میاشتنی کرایه]]/2</f>
        <v>1000</v>
      </c>
      <c r="N13" s="26">
        <v>777519455</v>
      </c>
      <c r="O13" s="35">
        <f>Table1[[#This Row],[پیشکي پیسی]]-Table1[[#This Row],[د ۵۰ ٪ کرایی درکه]]</f>
        <v>74000</v>
      </c>
      <c r="P13" s="35"/>
      <c r="Q13" s="35"/>
      <c r="R13" s="35"/>
      <c r="S13" s="35"/>
      <c r="T13" s="35"/>
      <c r="U13" s="35"/>
      <c r="W13">
        <v>2250</v>
      </c>
    </row>
    <row r="14" spans="1:23">
      <c r="A14" s="25">
        <v>12</v>
      </c>
      <c r="B14" s="26" t="s">
        <v>63</v>
      </c>
      <c r="C14" s="26"/>
      <c r="D14" s="26" t="s">
        <v>281</v>
      </c>
      <c r="E14" s="26" t="s">
        <v>282</v>
      </c>
      <c r="F14" s="26" t="s">
        <v>604</v>
      </c>
      <c r="G14" s="26" t="s">
        <v>605</v>
      </c>
      <c r="H14">
        <v>12117843</v>
      </c>
      <c r="I14" s="54" t="s">
        <v>829</v>
      </c>
      <c r="J14" s="26" t="s">
        <v>271</v>
      </c>
      <c r="K14" s="37">
        <v>100000</v>
      </c>
      <c r="L14" s="35">
        <v>2000</v>
      </c>
      <c r="M14" s="57">
        <f>Table1[[#This Row],[میاشتنی کرایه]]/2</f>
        <v>1000</v>
      </c>
      <c r="N14" s="26"/>
      <c r="O14" s="35">
        <f>Table1[[#This Row],[پیشکي پیسی]]-Table1[[#This Row],[د ۵۰ ٪ کرایی درکه]]</f>
        <v>99000</v>
      </c>
      <c r="P14" s="35"/>
      <c r="Q14" s="35"/>
      <c r="R14" s="35"/>
      <c r="S14" s="35"/>
      <c r="T14" s="35"/>
      <c r="U14" s="35"/>
      <c r="W14">
        <v>1000</v>
      </c>
    </row>
    <row r="15" spans="1:23" s="67" customFormat="1">
      <c r="A15" s="63">
        <v>13</v>
      </c>
      <c r="B15" s="64" t="s">
        <v>64</v>
      </c>
      <c r="C15" s="64"/>
      <c r="D15" s="64" t="s">
        <v>283</v>
      </c>
      <c r="E15" s="64" t="s">
        <v>718</v>
      </c>
      <c r="F15" s="64" t="s">
        <v>606</v>
      </c>
      <c r="G15" s="64" t="s">
        <v>607</v>
      </c>
      <c r="H15">
        <v>907413</v>
      </c>
      <c r="I15" s="54" t="s">
        <v>829</v>
      </c>
      <c r="J15" s="64" t="s">
        <v>271</v>
      </c>
      <c r="K15" s="65">
        <v>200000</v>
      </c>
      <c r="L15" s="35">
        <v>2000</v>
      </c>
      <c r="M15" s="57">
        <f>Table1[[#This Row],[میاشتنی کرایه]]/2</f>
        <v>1000</v>
      </c>
      <c r="N15" s="64">
        <v>779628495</v>
      </c>
      <c r="O15" s="66">
        <f>Table1[[#This Row],[پیشکي پیسی]]-Table1[[#This Row],[د ۵۰ ٪ کرایی درکه]]</f>
        <v>199000</v>
      </c>
      <c r="P15" s="66"/>
      <c r="Q15" s="66"/>
      <c r="R15" s="66"/>
      <c r="S15" s="66"/>
      <c r="T15" s="66"/>
      <c r="U15" s="66"/>
      <c r="W15" s="67">
        <v>2500</v>
      </c>
    </row>
    <row r="16" spans="1:23" s="67" customFormat="1">
      <c r="A16" s="63">
        <v>14</v>
      </c>
      <c r="B16" s="64" t="s">
        <v>65</v>
      </c>
      <c r="C16" s="64"/>
      <c r="D16" s="64" t="s">
        <v>283</v>
      </c>
      <c r="E16" s="64" t="s">
        <v>718</v>
      </c>
      <c r="F16" s="64"/>
      <c r="G16" s="64"/>
      <c r="H16"/>
      <c r="I16" s="54" t="s">
        <v>829</v>
      </c>
      <c r="J16" s="64" t="s">
        <v>271</v>
      </c>
      <c r="K16" s="65">
        <v>200000</v>
      </c>
      <c r="L16" s="66">
        <v>3000</v>
      </c>
      <c r="M16" s="57">
        <f>Table1[[#This Row],[میاشتنی کرایه]]/2</f>
        <v>1500</v>
      </c>
      <c r="N16" s="64">
        <v>779628495</v>
      </c>
      <c r="O16" s="66">
        <f>Table1[[#This Row],[پیشکي پیسی]]-Table1[[#This Row],[د ۵۰ ٪ کرایی درکه]]</f>
        <v>198500</v>
      </c>
      <c r="P16" s="66"/>
      <c r="Q16" s="66"/>
      <c r="R16" s="66"/>
      <c r="S16" s="66"/>
      <c r="T16" s="66"/>
      <c r="U16" s="66"/>
      <c r="W16" s="67">
        <v>1500</v>
      </c>
    </row>
    <row r="17" spans="1:23">
      <c r="A17" s="25">
        <v>15</v>
      </c>
      <c r="B17" s="26" t="s">
        <v>66</v>
      </c>
      <c r="C17" s="26"/>
      <c r="D17" s="26" t="s">
        <v>284</v>
      </c>
      <c r="E17" s="26" t="s">
        <v>285</v>
      </c>
      <c r="F17" s="26" t="s">
        <v>608</v>
      </c>
      <c r="G17" s="26" t="s">
        <v>609</v>
      </c>
      <c r="H17">
        <v>567941</v>
      </c>
      <c r="I17" s="54" t="s">
        <v>829</v>
      </c>
      <c r="J17" s="26" t="s">
        <v>271</v>
      </c>
      <c r="K17" s="37">
        <v>300000</v>
      </c>
      <c r="L17" s="66">
        <v>3000</v>
      </c>
      <c r="M17" s="57">
        <f>Table1[[#This Row],[میاشتنی کرایه]]/2</f>
        <v>1500</v>
      </c>
      <c r="N17" s="26"/>
      <c r="O17" s="35">
        <f>Table1[[#This Row],[پیشکي پیسی]]-Table1[[#This Row],[د ۵۰ ٪ کرایی درکه]]</f>
        <v>298500</v>
      </c>
      <c r="P17" s="35"/>
      <c r="Q17" s="35"/>
      <c r="R17" s="35"/>
      <c r="S17" s="35"/>
      <c r="T17" s="35"/>
      <c r="U17" s="35"/>
      <c r="W17">
        <v>3000</v>
      </c>
    </row>
    <row r="18" spans="1:23" s="16" customFormat="1">
      <c r="A18" s="70">
        <v>16</v>
      </c>
      <c r="B18" s="71" t="s">
        <v>67</v>
      </c>
      <c r="C18" s="71"/>
      <c r="D18" s="71" t="s">
        <v>286</v>
      </c>
      <c r="E18" s="71" t="s">
        <v>287</v>
      </c>
      <c r="F18" s="71" t="s">
        <v>610</v>
      </c>
      <c r="G18" s="71" t="s">
        <v>603</v>
      </c>
      <c r="H18">
        <v>938105</v>
      </c>
      <c r="I18" s="54" t="s">
        <v>829</v>
      </c>
      <c r="J18" s="71" t="s">
        <v>271</v>
      </c>
      <c r="K18" s="72">
        <v>350000</v>
      </c>
      <c r="L18" s="66">
        <v>3000</v>
      </c>
      <c r="M18" s="57">
        <f>Table1[[#This Row],[میاشتنی کرایه]]/2</f>
        <v>1500</v>
      </c>
      <c r="N18" s="71">
        <v>764892740</v>
      </c>
      <c r="O18" s="73">
        <f>Table1[[#This Row],[پیشکي پیسی]]-Table1[[#This Row],[د ۵۰ ٪ کرایی درکه]]</f>
        <v>348500</v>
      </c>
      <c r="P18" s="73"/>
      <c r="Q18" s="73"/>
      <c r="R18" s="73"/>
      <c r="S18" s="73"/>
      <c r="T18" s="73"/>
      <c r="U18" s="73"/>
      <c r="W18" s="16">
        <v>1250</v>
      </c>
    </row>
    <row r="19" spans="1:23" s="16" customFormat="1">
      <c r="A19" s="70">
        <v>17</v>
      </c>
      <c r="B19" s="71" t="s">
        <v>68</v>
      </c>
      <c r="C19" s="71"/>
      <c r="D19" s="71" t="s">
        <v>286</v>
      </c>
      <c r="E19" s="71" t="s">
        <v>287</v>
      </c>
      <c r="F19" s="71"/>
      <c r="G19" s="71"/>
      <c r="H19"/>
      <c r="I19" s="54" t="s">
        <v>829</v>
      </c>
      <c r="J19" s="71" t="s">
        <v>271</v>
      </c>
      <c r="K19" s="72">
        <v>350000</v>
      </c>
      <c r="L19" s="66">
        <v>3000</v>
      </c>
      <c r="M19" s="57">
        <f>Table1[[#This Row],[میاشتنی کرایه]]/2</f>
        <v>1500</v>
      </c>
      <c r="N19" s="71">
        <v>764892740</v>
      </c>
      <c r="O19" s="73">
        <f>Table1[[#This Row],[پیشکي پیسی]]-Table1[[#This Row],[د ۵۰ ٪ کرایی درکه]]</f>
        <v>348500</v>
      </c>
      <c r="P19" s="73"/>
      <c r="Q19" s="73"/>
      <c r="R19" s="73"/>
      <c r="S19" s="73"/>
      <c r="T19" s="73"/>
      <c r="U19" s="73"/>
      <c r="W19" s="16">
        <v>1250</v>
      </c>
    </row>
    <row r="20" spans="1:23">
      <c r="A20" s="25">
        <v>18</v>
      </c>
      <c r="B20" s="26" t="s">
        <v>69</v>
      </c>
      <c r="C20" s="26"/>
      <c r="D20" s="26" t="s">
        <v>288</v>
      </c>
      <c r="E20" s="26" t="s">
        <v>289</v>
      </c>
      <c r="F20" s="26" t="s">
        <v>611</v>
      </c>
      <c r="G20" s="26" t="s">
        <v>612</v>
      </c>
      <c r="H20">
        <v>5260</v>
      </c>
      <c r="I20" s="54" t="s">
        <v>829</v>
      </c>
      <c r="J20" s="26" t="s">
        <v>271</v>
      </c>
      <c r="K20" s="37">
        <v>700000</v>
      </c>
      <c r="L20" s="35">
        <v>2500</v>
      </c>
      <c r="M20" s="57">
        <f>Table1[[#This Row],[میاشتنی کرایه]]/2</f>
        <v>1250</v>
      </c>
      <c r="N20" s="28">
        <v>778686852</v>
      </c>
      <c r="O20" s="35">
        <f>Table1[[#This Row],[پیشکي پیسی]]-Table1[[#This Row],[د ۵۰ ٪ کرایی درکه]]</f>
        <v>698750</v>
      </c>
      <c r="P20" s="35"/>
      <c r="Q20" s="35"/>
      <c r="R20" s="35"/>
      <c r="S20" s="35"/>
      <c r="T20" s="35"/>
      <c r="U20" s="35"/>
      <c r="W20">
        <v>1000</v>
      </c>
    </row>
    <row r="21" spans="1:23">
      <c r="A21" s="25">
        <v>19</v>
      </c>
      <c r="B21" s="26" t="s">
        <v>70</v>
      </c>
      <c r="C21" s="26"/>
      <c r="D21" s="26" t="s">
        <v>290</v>
      </c>
      <c r="E21" s="26"/>
      <c r="F21" s="26"/>
      <c r="G21" s="26" t="s">
        <v>535</v>
      </c>
      <c r="H21"/>
      <c r="I21" s="54" t="s">
        <v>829</v>
      </c>
      <c r="J21" s="26" t="s">
        <v>271</v>
      </c>
      <c r="K21" s="37">
        <v>300000</v>
      </c>
      <c r="L21" s="35">
        <v>2500</v>
      </c>
      <c r="M21" s="57">
        <f>Table1[[#This Row],[میاشتنی کرایه]]/2</f>
        <v>1250</v>
      </c>
      <c r="N21" s="28"/>
      <c r="O21" s="35">
        <f>Table1[[#This Row],[پیشکي پیسی]]-Table1[[#This Row],[د ۵۰ ٪ کرایی درکه]]</f>
        <v>298750</v>
      </c>
      <c r="P21" s="35"/>
      <c r="Q21" s="35"/>
      <c r="R21" s="35"/>
      <c r="S21" s="35"/>
      <c r="T21" s="35"/>
      <c r="U21" s="35"/>
      <c r="W21">
        <v>2500</v>
      </c>
    </row>
    <row r="22" spans="1:23">
      <c r="A22" s="25">
        <v>20</v>
      </c>
      <c r="B22" s="26" t="s">
        <v>71</v>
      </c>
      <c r="C22" s="26"/>
      <c r="D22" s="26" t="s">
        <v>291</v>
      </c>
      <c r="E22" s="26" t="s">
        <v>292</v>
      </c>
      <c r="F22" s="26" t="s">
        <v>613</v>
      </c>
      <c r="G22" s="26" t="s">
        <v>614</v>
      </c>
      <c r="H22">
        <v>415861</v>
      </c>
      <c r="I22" s="54" t="s">
        <v>829</v>
      </c>
      <c r="J22" s="26" t="s">
        <v>271</v>
      </c>
      <c r="K22" s="37">
        <v>250000</v>
      </c>
      <c r="L22" s="35">
        <v>2000</v>
      </c>
      <c r="M22" s="57">
        <f>Table1[[#This Row],[میاشتنی کرایه]]/2</f>
        <v>1000</v>
      </c>
      <c r="N22" s="28">
        <v>771602656</v>
      </c>
      <c r="O22" s="35">
        <f>Table1[[#This Row],[پیشکي پیسی]]-Table1[[#This Row],[د ۵۰ ٪ کرایی درکه]]</f>
        <v>249000</v>
      </c>
      <c r="P22" s="35"/>
      <c r="Q22" s="35"/>
      <c r="R22" s="35"/>
      <c r="S22" s="35"/>
      <c r="T22" s="35"/>
      <c r="U22" s="35"/>
      <c r="W22">
        <v>1000</v>
      </c>
    </row>
    <row r="23" spans="1:23">
      <c r="A23" s="25">
        <v>21</v>
      </c>
      <c r="B23" s="26" t="s">
        <v>72</v>
      </c>
      <c r="C23" s="26"/>
      <c r="D23" s="26" t="s">
        <v>293</v>
      </c>
      <c r="E23" s="26" t="s">
        <v>294</v>
      </c>
      <c r="F23" s="26" t="s">
        <v>615</v>
      </c>
      <c r="G23" s="26" t="s">
        <v>547</v>
      </c>
      <c r="H23">
        <v>34838429</v>
      </c>
      <c r="I23" s="54" t="s">
        <v>829</v>
      </c>
      <c r="J23" s="26" t="s">
        <v>271</v>
      </c>
      <c r="K23" s="37">
        <v>362780</v>
      </c>
      <c r="L23" s="35">
        <v>2000</v>
      </c>
      <c r="M23" s="57">
        <f>Table1[[#This Row],[میاشتنی کرایه]]/2</f>
        <v>1000</v>
      </c>
      <c r="N23" s="28">
        <v>767668381</v>
      </c>
      <c r="O23" s="35">
        <f>Table1[[#This Row],[پیشکي پیسی]]-Table1[[#This Row],[د ۵۰ ٪ کرایی درکه]]</f>
        <v>361780</v>
      </c>
      <c r="P23" s="35"/>
      <c r="Q23" s="35"/>
      <c r="R23" s="35"/>
      <c r="S23" s="35"/>
      <c r="T23" s="35"/>
      <c r="U23" s="35"/>
      <c r="W23">
        <v>3000</v>
      </c>
    </row>
    <row r="24" spans="1:23" s="16" customFormat="1">
      <c r="A24" s="70">
        <v>22</v>
      </c>
      <c r="B24" s="71" t="s">
        <v>73</v>
      </c>
      <c r="C24" s="71"/>
      <c r="D24" s="71" t="s">
        <v>295</v>
      </c>
      <c r="E24" s="71" t="s">
        <v>296</v>
      </c>
      <c r="F24" s="71" t="s">
        <v>616</v>
      </c>
      <c r="G24" s="71" t="s">
        <v>535</v>
      </c>
      <c r="H24">
        <v>81526</v>
      </c>
      <c r="I24" s="54" t="s">
        <v>829</v>
      </c>
      <c r="J24" s="71" t="s">
        <v>271</v>
      </c>
      <c r="K24" s="72">
        <v>550000</v>
      </c>
      <c r="L24" s="35">
        <v>2500</v>
      </c>
      <c r="M24" s="57">
        <f>Table1[[#This Row],[میاشتنی کرایه]]/2</f>
        <v>1250</v>
      </c>
      <c r="N24" s="74">
        <v>771795444</v>
      </c>
      <c r="O24" s="73">
        <f>Table1[[#This Row],[پیشکي پیسی]]-Table1[[#This Row],[د ۵۰ ٪ کرایی درکه]]</f>
        <v>548750</v>
      </c>
      <c r="P24" s="73"/>
      <c r="Q24" s="73"/>
      <c r="R24" s="73"/>
      <c r="S24" s="73"/>
      <c r="T24" s="73"/>
      <c r="U24" s="73"/>
      <c r="W24" s="16">
        <v>1500</v>
      </c>
    </row>
    <row r="25" spans="1:23" s="16" customFormat="1">
      <c r="A25" s="70">
        <v>23</v>
      </c>
      <c r="B25" s="71" t="s">
        <v>74</v>
      </c>
      <c r="C25" s="71"/>
      <c r="D25" s="71" t="s">
        <v>295</v>
      </c>
      <c r="E25" s="71" t="s">
        <v>296</v>
      </c>
      <c r="F25" s="71"/>
      <c r="G25" s="71"/>
      <c r="H25"/>
      <c r="I25" s="54" t="s">
        <v>829</v>
      </c>
      <c r="J25" s="71" t="s">
        <v>271</v>
      </c>
      <c r="K25" s="72">
        <v>550000</v>
      </c>
      <c r="L25" s="35">
        <v>2500</v>
      </c>
      <c r="M25" s="57">
        <f>Table1[[#This Row],[میاشتنی کرایه]]/2</f>
        <v>1250</v>
      </c>
      <c r="N25" s="74">
        <v>771795444</v>
      </c>
      <c r="O25" s="73">
        <f>Table1[[#This Row],[پیشکي پیسی]]-Table1[[#This Row],[د ۵۰ ٪ کرایی درکه]]</f>
        <v>548750</v>
      </c>
      <c r="P25" s="73"/>
      <c r="Q25" s="73"/>
      <c r="R25" s="73"/>
      <c r="S25" s="73"/>
      <c r="T25" s="73"/>
      <c r="U25" s="73"/>
      <c r="W25" s="16">
        <v>1500</v>
      </c>
    </row>
    <row r="26" spans="1:23" s="67" customFormat="1">
      <c r="A26" s="63">
        <v>24</v>
      </c>
      <c r="B26" s="64" t="s">
        <v>75</v>
      </c>
      <c r="C26" s="64"/>
      <c r="D26" s="64" t="s">
        <v>297</v>
      </c>
      <c r="E26" s="64" t="s">
        <v>298</v>
      </c>
      <c r="F26" s="64" t="s">
        <v>617</v>
      </c>
      <c r="G26" s="64" t="s">
        <v>531</v>
      </c>
      <c r="H26">
        <v>17257301</v>
      </c>
      <c r="I26" s="54" t="s">
        <v>829</v>
      </c>
      <c r="J26" s="64" t="s">
        <v>271</v>
      </c>
      <c r="K26" s="65">
        <v>300000</v>
      </c>
      <c r="L26" s="66">
        <v>3000</v>
      </c>
      <c r="M26" s="57">
        <f>Table1[[#This Row],[میاشتنی کرایه]]/2</f>
        <v>1500</v>
      </c>
      <c r="N26" s="75">
        <v>771284221</v>
      </c>
      <c r="O26" s="66">
        <f>Table1[[#This Row],[پیشکي پیسی]]-Table1[[#This Row],[د ۵۰ ٪ کرایی درکه]]</f>
        <v>298500</v>
      </c>
      <c r="P26" s="66"/>
      <c r="Q26" s="66"/>
      <c r="R26" s="66"/>
      <c r="S26" s="66"/>
      <c r="T26" s="66"/>
      <c r="U26" s="66"/>
      <c r="W26" s="67">
        <v>1250</v>
      </c>
    </row>
    <row r="27" spans="1:23" s="67" customFormat="1">
      <c r="A27" s="63">
        <v>25</v>
      </c>
      <c r="B27" s="64" t="s">
        <v>76</v>
      </c>
      <c r="C27" s="64"/>
      <c r="D27" s="64" t="s">
        <v>297</v>
      </c>
      <c r="E27" s="64" t="s">
        <v>298</v>
      </c>
      <c r="F27" s="64"/>
      <c r="G27" s="64"/>
      <c r="H27"/>
      <c r="I27" s="54" t="s">
        <v>829</v>
      </c>
      <c r="J27" s="64" t="s">
        <v>271</v>
      </c>
      <c r="K27" s="65">
        <v>300000</v>
      </c>
      <c r="L27" s="66">
        <v>3000</v>
      </c>
      <c r="M27" s="57">
        <f>Table1[[#This Row],[میاشتنی کرایه]]/2</f>
        <v>1500</v>
      </c>
      <c r="N27" s="75">
        <v>771284221</v>
      </c>
      <c r="O27" s="66">
        <f>Table1[[#This Row],[پیشکي پیسی]]-Table1[[#This Row],[د ۵۰ ٪ کرایی درکه]]</f>
        <v>298500</v>
      </c>
      <c r="P27" s="66"/>
      <c r="Q27" s="66"/>
      <c r="R27" s="66"/>
      <c r="S27" s="66"/>
      <c r="T27" s="66"/>
      <c r="U27" s="66"/>
      <c r="W27" s="67">
        <v>2500</v>
      </c>
    </row>
    <row r="28" spans="1:23">
      <c r="A28" s="25">
        <v>26</v>
      </c>
      <c r="B28" s="26" t="s">
        <v>77</v>
      </c>
      <c r="C28" s="26"/>
      <c r="D28" s="26" t="s">
        <v>299</v>
      </c>
      <c r="E28" s="26" t="s">
        <v>300</v>
      </c>
      <c r="F28" s="26" t="s">
        <v>618</v>
      </c>
      <c r="G28" s="26" t="s">
        <v>531</v>
      </c>
      <c r="H28">
        <v>401710</v>
      </c>
      <c r="I28" s="54" t="s">
        <v>829</v>
      </c>
      <c r="J28" s="26" t="s">
        <v>271</v>
      </c>
      <c r="K28" s="37">
        <v>500000</v>
      </c>
      <c r="L28" s="66">
        <v>3000</v>
      </c>
      <c r="M28" s="57">
        <f>Table1[[#This Row],[میاشتنی کرایه]]/2</f>
        <v>1500</v>
      </c>
      <c r="N28" s="28"/>
      <c r="O28" s="35">
        <f>Table1[[#This Row],[پیشکي پیسی]]-Table1[[#This Row],[د ۵۰ ٪ کرایی درکه]]</f>
        <v>498500</v>
      </c>
      <c r="P28" s="35"/>
      <c r="Q28" s="35"/>
      <c r="R28" s="35"/>
      <c r="S28" s="35"/>
      <c r="T28" s="35"/>
      <c r="U28" s="35"/>
      <c r="W28">
        <v>2500</v>
      </c>
    </row>
    <row r="29" spans="1:23">
      <c r="A29" s="25">
        <v>27</v>
      </c>
      <c r="B29" s="26" t="s">
        <v>78</v>
      </c>
      <c r="C29" s="26"/>
      <c r="D29" s="26" t="s">
        <v>301</v>
      </c>
      <c r="E29" s="26" t="s">
        <v>302</v>
      </c>
      <c r="F29" s="26" t="s">
        <v>619</v>
      </c>
      <c r="G29" s="26" t="s">
        <v>620</v>
      </c>
      <c r="H29">
        <v>5121419</v>
      </c>
      <c r="I29" s="54" t="s">
        <v>829</v>
      </c>
      <c r="J29" s="26" t="s">
        <v>271</v>
      </c>
      <c r="K29" s="37">
        <v>250000</v>
      </c>
      <c r="L29" s="66">
        <v>3000</v>
      </c>
      <c r="M29" s="57">
        <f>Table1[[#This Row],[میاشتنی کرایه]]/2</f>
        <v>1500</v>
      </c>
      <c r="N29" s="28">
        <v>772255071</v>
      </c>
      <c r="O29" s="35">
        <f>Table1[[#This Row],[پیشکي پیسی]]-Table1[[#This Row],[د ۵۰ ٪ کرایی درکه]]</f>
        <v>248500</v>
      </c>
      <c r="P29" s="35"/>
      <c r="Q29" s="35"/>
      <c r="R29" s="35"/>
      <c r="S29" s="35"/>
      <c r="T29" s="35"/>
      <c r="U29" s="35"/>
      <c r="W29">
        <v>1250</v>
      </c>
    </row>
    <row r="30" spans="1:23">
      <c r="A30" s="25">
        <v>28</v>
      </c>
      <c r="B30" s="26" t="s">
        <v>79</v>
      </c>
      <c r="C30" s="26"/>
      <c r="D30" s="26" t="s">
        <v>303</v>
      </c>
      <c r="E30" s="26" t="s">
        <v>304</v>
      </c>
      <c r="F30" s="26" t="s">
        <v>621</v>
      </c>
      <c r="G30" s="26" t="s">
        <v>547</v>
      </c>
      <c r="H30">
        <v>880003</v>
      </c>
      <c r="I30" s="54" t="s">
        <v>829</v>
      </c>
      <c r="J30" s="26" t="s">
        <v>271</v>
      </c>
      <c r="K30" s="37">
        <v>290000</v>
      </c>
      <c r="L30" s="35">
        <v>2500</v>
      </c>
      <c r="M30" s="57">
        <f>Table1[[#This Row],[میاشتنی کرایه]]/2</f>
        <v>1250</v>
      </c>
      <c r="N30" s="28">
        <v>777848525</v>
      </c>
      <c r="O30" s="35">
        <f>Table1[[#This Row],[پیشکي پیسی]]-Table1[[#This Row],[د ۵۰ ٪ کرایی درکه]]</f>
        <v>288750</v>
      </c>
      <c r="P30" s="35"/>
      <c r="Q30" s="35"/>
      <c r="R30" s="35"/>
      <c r="S30" s="35"/>
      <c r="T30" s="35"/>
      <c r="U30" s="35"/>
      <c r="W30">
        <v>1250</v>
      </c>
    </row>
    <row r="31" spans="1:23">
      <c r="A31" s="191">
        <v>29</v>
      </c>
      <c r="B31" s="193" t="s">
        <v>80</v>
      </c>
      <c r="C31" s="193"/>
      <c r="D31" s="193" t="s">
        <v>305</v>
      </c>
      <c r="E31" s="193" t="s">
        <v>306</v>
      </c>
      <c r="F31" s="193" t="s">
        <v>622</v>
      </c>
      <c r="G31" s="193" t="s">
        <v>623</v>
      </c>
      <c r="H31" s="194">
        <v>14506657</v>
      </c>
      <c r="I31" s="54" t="s">
        <v>829</v>
      </c>
      <c r="J31" s="193" t="s">
        <v>271</v>
      </c>
      <c r="K31" s="195" t="s">
        <v>652</v>
      </c>
      <c r="L31" s="228">
        <v>2500</v>
      </c>
      <c r="M31" s="228"/>
      <c r="N31" s="28">
        <v>779488638</v>
      </c>
      <c r="O31" s="35">
        <v>0</v>
      </c>
      <c r="P31" s="35"/>
      <c r="Q31" s="35"/>
      <c r="R31" s="35"/>
      <c r="S31" s="35"/>
      <c r="T31" s="35"/>
      <c r="U31" s="35"/>
      <c r="W31">
        <v>1500</v>
      </c>
    </row>
    <row r="32" spans="1:23">
      <c r="A32" s="25">
        <v>30</v>
      </c>
      <c r="B32" s="26" t="s">
        <v>81</v>
      </c>
      <c r="C32" s="26"/>
      <c r="D32" s="26" t="s">
        <v>307</v>
      </c>
      <c r="E32" s="26" t="s">
        <v>308</v>
      </c>
      <c r="F32" s="26" t="s">
        <v>430</v>
      </c>
      <c r="G32" s="26" t="s">
        <v>603</v>
      </c>
      <c r="H32">
        <v>30148495</v>
      </c>
      <c r="I32" s="54" t="s">
        <v>829</v>
      </c>
      <c r="J32" s="26" t="s">
        <v>271</v>
      </c>
      <c r="K32" s="37">
        <v>75000</v>
      </c>
      <c r="L32" s="35">
        <v>2500</v>
      </c>
      <c r="M32" s="57">
        <f>Table1[[#This Row],[میاشتنی کرایه]]/2</f>
        <v>1250</v>
      </c>
      <c r="N32" s="28"/>
      <c r="O32" s="35">
        <f>Table1[[#This Row],[پیشکي پیسی]]-Table1[[#This Row],[د ۵۰ ٪ کرایی درکه]]</f>
        <v>73750</v>
      </c>
      <c r="P32" s="35"/>
      <c r="Q32" s="35"/>
      <c r="R32" s="35"/>
      <c r="S32" s="35"/>
      <c r="T32" s="35"/>
      <c r="U32" s="35"/>
      <c r="W32">
        <v>1500</v>
      </c>
    </row>
    <row r="33" spans="1:23">
      <c r="A33" s="25">
        <v>31</v>
      </c>
      <c r="B33" s="26" t="s">
        <v>82</v>
      </c>
      <c r="C33" s="26"/>
      <c r="D33" s="26" t="s">
        <v>309</v>
      </c>
      <c r="E33" s="26" t="s">
        <v>310</v>
      </c>
      <c r="F33" s="26" t="s">
        <v>624</v>
      </c>
      <c r="G33" s="26" t="s">
        <v>625</v>
      </c>
      <c r="H33">
        <v>29524606</v>
      </c>
      <c r="I33" s="54" t="s">
        <v>829</v>
      </c>
      <c r="J33" s="26" t="s">
        <v>271</v>
      </c>
      <c r="K33" s="37">
        <v>450000</v>
      </c>
      <c r="L33" s="35">
        <v>2500</v>
      </c>
      <c r="M33" s="57">
        <f>Table1[[#This Row],[میاشتنی کرایه]]/2</f>
        <v>1250</v>
      </c>
      <c r="N33" s="28">
        <v>779193131</v>
      </c>
      <c r="O33" s="35">
        <f>Table1[[#This Row],[پیشکي پیسی]]-Table1[[#This Row],[د ۵۰ ٪ کرایی درکه]]</f>
        <v>448750</v>
      </c>
      <c r="P33" s="35"/>
      <c r="Q33" s="35"/>
      <c r="R33" s="35"/>
      <c r="S33" s="35"/>
      <c r="T33" s="35"/>
      <c r="U33" s="35"/>
      <c r="W33">
        <v>2500</v>
      </c>
    </row>
    <row r="34" spans="1:23">
      <c r="A34" s="25">
        <v>32</v>
      </c>
      <c r="B34" s="26" t="s">
        <v>83</v>
      </c>
      <c r="C34" s="26"/>
      <c r="D34" s="26" t="s">
        <v>311</v>
      </c>
      <c r="E34" s="26" t="s">
        <v>312</v>
      </c>
      <c r="F34" s="26" t="s">
        <v>626</v>
      </c>
      <c r="G34" s="26" t="s">
        <v>627</v>
      </c>
      <c r="H34">
        <v>1714505</v>
      </c>
      <c r="I34" s="54" t="s">
        <v>829</v>
      </c>
      <c r="J34" s="26" t="s">
        <v>271</v>
      </c>
      <c r="K34" s="37">
        <v>400000</v>
      </c>
      <c r="L34" s="35">
        <v>2500</v>
      </c>
      <c r="M34" s="57">
        <f>Table1[[#This Row],[میاشتنی کرایه]]/2</f>
        <v>1250</v>
      </c>
      <c r="N34" s="28"/>
      <c r="O34" s="35">
        <f>Table1[[#This Row],[پیشکي پیسی]]-Table1[[#This Row],[د ۵۰ ٪ کرایی درکه]]</f>
        <v>398750</v>
      </c>
      <c r="P34" s="35"/>
      <c r="Q34" s="35"/>
      <c r="R34" s="35"/>
      <c r="S34" s="35"/>
      <c r="T34" s="35"/>
      <c r="U34" s="35"/>
      <c r="W34">
        <v>3000</v>
      </c>
    </row>
    <row r="35" spans="1:23">
      <c r="A35" s="25">
        <v>33</v>
      </c>
      <c r="B35" s="26" t="s">
        <v>84</v>
      </c>
      <c r="C35" s="26"/>
      <c r="D35" s="26" t="s">
        <v>313</v>
      </c>
      <c r="E35" s="26" t="s">
        <v>719</v>
      </c>
      <c r="F35" s="26" t="s">
        <v>628</v>
      </c>
      <c r="G35" s="26" t="s">
        <v>541</v>
      </c>
      <c r="H35">
        <v>26930</v>
      </c>
      <c r="I35" s="54" t="s">
        <v>829</v>
      </c>
      <c r="J35" s="26" t="s">
        <v>271</v>
      </c>
      <c r="K35" s="37">
        <v>400000</v>
      </c>
      <c r="L35" s="35">
        <v>2000</v>
      </c>
      <c r="M35" s="57">
        <f>Table1[[#This Row],[میاشتنی کرایه]]/2</f>
        <v>1000</v>
      </c>
      <c r="N35" s="28"/>
      <c r="O35" s="35">
        <f>Table1[[#This Row],[پیشکي پیسی]]-Table1[[#This Row],[د ۵۰ ٪ کرایی درکه]]</f>
        <v>399000</v>
      </c>
      <c r="P35" s="35"/>
      <c r="Q35" s="35"/>
      <c r="R35" s="35"/>
      <c r="S35" s="35"/>
      <c r="T35" s="35"/>
      <c r="U35" s="35"/>
      <c r="W35">
        <v>2500</v>
      </c>
    </row>
    <row r="36" spans="1:23">
      <c r="A36" s="25">
        <v>34</v>
      </c>
      <c r="B36" s="26" t="s">
        <v>85</v>
      </c>
      <c r="C36" s="26"/>
      <c r="D36" s="26" t="s">
        <v>314</v>
      </c>
      <c r="E36" s="26" t="s">
        <v>315</v>
      </c>
      <c r="F36" s="26" t="s">
        <v>629</v>
      </c>
      <c r="G36" s="26" t="s">
        <v>541</v>
      </c>
      <c r="H36">
        <v>37938</v>
      </c>
      <c r="I36" s="54" t="s">
        <v>829</v>
      </c>
      <c r="J36" s="26" t="s">
        <v>271</v>
      </c>
      <c r="K36" s="37">
        <v>150000</v>
      </c>
      <c r="L36" s="35">
        <v>2000</v>
      </c>
      <c r="M36" s="57">
        <f>Table1[[#This Row],[میاشتنی کرایه]]/2</f>
        <v>1000</v>
      </c>
      <c r="N36" s="28"/>
      <c r="O36" s="35">
        <f>Table1[[#This Row],[پیشکي پیسی]]-Table1[[#This Row],[د ۵۰ ٪ کرایی درکه]]</f>
        <v>149000</v>
      </c>
      <c r="P36" s="35"/>
      <c r="Q36" s="35"/>
      <c r="R36" s="35"/>
      <c r="S36" s="35"/>
      <c r="T36" s="35"/>
      <c r="U36" s="35"/>
      <c r="W36">
        <v>1250</v>
      </c>
    </row>
    <row r="37" spans="1:23" s="67" customFormat="1">
      <c r="A37" s="63">
        <v>35</v>
      </c>
      <c r="B37" s="64" t="s">
        <v>86</v>
      </c>
      <c r="C37" s="64"/>
      <c r="D37" s="64" t="s">
        <v>317</v>
      </c>
      <c r="E37" s="64" t="s">
        <v>318</v>
      </c>
      <c r="F37" s="64" t="s">
        <v>630</v>
      </c>
      <c r="G37" s="64" t="s">
        <v>531</v>
      </c>
      <c r="H37">
        <v>3063588</v>
      </c>
      <c r="I37" s="54" t="s">
        <v>829</v>
      </c>
      <c r="J37" s="64" t="s">
        <v>271</v>
      </c>
      <c r="K37" s="65">
        <v>300000</v>
      </c>
      <c r="L37" s="35">
        <v>2500</v>
      </c>
      <c r="M37" s="57">
        <f>Table1[[#This Row],[میاشتنی کرایه]]/2</f>
        <v>1250</v>
      </c>
      <c r="N37" s="75"/>
      <c r="O37" s="66">
        <f>Table1[[#This Row],[پیشکي پیسی]]-Table1[[#This Row],[د ۵۰ ٪ کرایی درکه]]</f>
        <v>298750</v>
      </c>
      <c r="P37" s="66"/>
      <c r="Q37" s="66"/>
      <c r="R37" s="66"/>
      <c r="S37" s="66"/>
      <c r="T37" s="66"/>
      <c r="U37" s="66"/>
      <c r="W37" s="67">
        <v>1000</v>
      </c>
    </row>
    <row r="38" spans="1:23" s="67" customFormat="1">
      <c r="A38" s="63">
        <v>36</v>
      </c>
      <c r="B38" s="64" t="s">
        <v>87</v>
      </c>
      <c r="C38" s="64"/>
      <c r="D38" s="64" t="s">
        <v>317</v>
      </c>
      <c r="E38" s="64" t="s">
        <v>318</v>
      </c>
      <c r="F38" s="64"/>
      <c r="G38" s="64"/>
      <c r="H38"/>
      <c r="I38" s="54" t="s">
        <v>829</v>
      </c>
      <c r="J38" s="64" t="s">
        <v>271</v>
      </c>
      <c r="K38" s="65">
        <v>300000</v>
      </c>
      <c r="L38" s="35">
        <v>2500</v>
      </c>
      <c r="M38" s="57">
        <f>Table1[[#This Row],[میاشتنی کرایه]]/2</f>
        <v>1250</v>
      </c>
      <c r="N38" s="75"/>
      <c r="O38" s="66">
        <f>Table1[[#This Row],[پیشکي پیسی]]-Table1[[#This Row],[د ۵۰ ٪ کرایی درکه]]</f>
        <v>298750</v>
      </c>
      <c r="P38" s="66"/>
      <c r="Q38" s="66"/>
      <c r="R38" s="66"/>
      <c r="S38" s="66"/>
      <c r="T38" s="66"/>
      <c r="U38" s="66"/>
      <c r="W38" s="67">
        <v>2500</v>
      </c>
    </row>
    <row r="39" spans="1:23" s="90" customFormat="1">
      <c r="A39" s="85">
        <v>37</v>
      </c>
      <c r="B39" s="86" t="s">
        <v>88</v>
      </c>
      <c r="C39" s="86"/>
      <c r="D39" s="86" t="s">
        <v>319</v>
      </c>
      <c r="E39" s="86" t="s">
        <v>320</v>
      </c>
      <c r="F39" s="86" t="s">
        <v>631</v>
      </c>
      <c r="G39" s="86" t="s">
        <v>541</v>
      </c>
      <c r="H39">
        <v>36314</v>
      </c>
      <c r="I39" s="54" t="s">
        <v>829</v>
      </c>
      <c r="J39" s="86" t="s">
        <v>271</v>
      </c>
      <c r="K39" s="87">
        <v>300000</v>
      </c>
      <c r="L39" s="88">
        <v>3000</v>
      </c>
      <c r="M39" s="57">
        <f>Table1[[#This Row],[میاشتنی کرایه]]/2</f>
        <v>1500</v>
      </c>
      <c r="N39" s="89"/>
      <c r="O39" s="88">
        <f>Table1[[#This Row],[پیشکي پیسی]]-Table1[[#This Row],[د ۵۰ ٪ کرایی درکه]]</f>
        <v>298500</v>
      </c>
      <c r="P39" s="88"/>
      <c r="Q39" s="88"/>
      <c r="R39" s="88"/>
      <c r="S39" s="88"/>
      <c r="T39" s="88"/>
      <c r="U39" s="88"/>
      <c r="W39" s="90">
        <v>1000</v>
      </c>
    </row>
    <row r="40" spans="1:23" s="90" customFormat="1">
      <c r="A40" s="85">
        <v>38</v>
      </c>
      <c r="B40" s="86" t="s">
        <v>89</v>
      </c>
      <c r="C40" s="86"/>
      <c r="D40" s="86" t="s">
        <v>319</v>
      </c>
      <c r="E40" s="86" t="s">
        <v>320</v>
      </c>
      <c r="F40" s="86"/>
      <c r="G40" s="86"/>
      <c r="H40"/>
      <c r="I40" s="54" t="s">
        <v>829</v>
      </c>
      <c r="J40" s="86" t="s">
        <v>271</v>
      </c>
      <c r="K40" s="87">
        <v>300000</v>
      </c>
      <c r="L40" s="88">
        <v>3000</v>
      </c>
      <c r="M40" s="57">
        <f>Table1[[#This Row],[میاشتنی کرایه]]/2</f>
        <v>1500</v>
      </c>
      <c r="N40" s="89"/>
      <c r="O40" s="88">
        <f>Table1[[#This Row],[پیشکي پیسی]]-Table1[[#This Row],[د ۵۰ ٪ کرایی درکه]]</f>
        <v>298500</v>
      </c>
      <c r="P40" s="88"/>
      <c r="Q40" s="88"/>
      <c r="R40" s="88"/>
      <c r="S40" s="88"/>
      <c r="T40" s="88"/>
      <c r="U40" s="88"/>
      <c r="W40" s="90">
        <v>6000</v>
      </c>
    </row>
    <row r="41" spans="1:23">
      <c r="A41" s="25">
        <v>39</v>
      </c>
      <c r="B41" s="26" t="s">
        <v>90</v>
      </c>
      <c r="C41" s="26"/>
      <c r="D41" s="26" t="s">
        <v>321</v>
      </c>
      <c r="E41" s="26" t="s">
        <v>322</v>
      </c>
      <c r="F41" s="26" t="s">
        <v>632</v>
      </c>
      <c r="G41" s="26" t="s">
        <v>633</v>
      </c>
      <c r="H41">
        <v>9438799</v>
      </c>
      <c r="I41" s="54" t="s">
        <v>829</v>
      </c>
      <c r="J41" s="26" t="s">
        <v>271</v>
      </c>
      <c r="K41" s="37">
        <v>350000</v>
      </c>
      <c r="L41" s="88">
        <v>3000</v>
      </c>
      <c r="M41" s="57">
        <f>Table1[[#This Row],[میاشتنی کرایه]]/2</f>
        <v>1500</v>
      </c>
      <c r="N41" s="28"/>
      <c r="O41" s="35">
        <f>Table1[[#This Row],[پیشکي پیسی]]-Table1[[#This Row],[د ۵۰ ٪ کرایی درکه]]</f>
        <v>348500</v>
      </c>
      <c r="P41" s="35"/>
      <c r="Q41" s="35"/>
      <c r="R41" s="35"/>
      <c r="S41" s="35"/>
      <c r="T41" s="35"/>
      <c r="U41" s="35"/>
      <c r="W41">
        <v>1500</v>
      </c>
    </row>
    <row r="42" spans="1:23">
      <c r="A42" s="25">
        <v>40</v>
      </c>
      <c r="B42" s="26" t="s">
        <v>91</v>
      </c>
      <c r="C42" s="26"/>
      <c r="D42" s="26" t="s">
        <v>323</v>
      </c>
      <c r="E42" s="26" t="s">
        <v>324</v>
      </c>
      <c r="F42" s="26" t="s">
        <v>634</v>
      </c>
      <c r="G42" s="26" t="s">
        <v>635</v>
      </c>
      <c r="H42">
        <v>70016</v>
      </c>
      <c r="I42" s="54" t="s">
        <v>829</v>
      </c>
      <c r="J42" s="26" t="s">
        <v>271</v>
      </c>
      <c r="K42" s="37">
        <v>500000</v>
      </c>
      <c r="L42" s="88">
        <v>3000</v>
      </c>
      <c r="M42" s="57">
        <f>Table1[[#This Row],[میاشتنی کرایه]]/2</f>
        <v>1500</v>
      </c>
      <c r="N42" s="28"/>
      <c r="O42" s="35">
        <f>Table1[[#This Row],[پیشکي پیسی]]-Table1[[#This Row],[د ۵۰ ٪ کرایی درکه]]</f>
        <v>498500</v>
      </c>
      <c r="P42" s="35"/>
      <c r="Q42" s="35"/>
      <c r="R42" s="35"/>
      <c r="S42" s="35"/>
      <c r="T42" s="35"/>
      <c r="U42" s="35"/>
      <c r="W42">
        <v>2750</v>
      </c>
    </row>
    <row r="43" spans="1:23">
      <c r="A43" s="25">
        <v>41</v>
      </c>
      <c r="B43" s="26" t="s">
        <v>92</v>
      </c>
      <c r="C43" s="26"/>
      <c r="D43" s="26" t="s">
        <v>325</v>
      </c>
      <c r="E43" s="26" t="s">
        <v>326</v>
      </c>
      <c r="F43" s="26" t="s">
        <v>636</v>
      </c>
      <c r="G43" s="26" t="s">
        <v>541</v>
      </c>
      <c r="H43">
        <v>28316</v>
      </c>
      <c r="I43" s="54" t="s">
        <v>829</v>
      </c>
      <c r="J43" s="26" t="s">
        <v>271</v>
      </c>
      <c r="K43" s="37">
        <v>650000</v>
      </c>
      <c r="L43" s="35">
        <v>2500</v>
      </c>
      <c r="M43" s="57">
        <f>Table1[[#This Row],[میاشتنی کرایه]]/2</f>
        <v>1250</v>
      </c>
      <c r="N43" s="28"/>
      <c r="O43" s="35">
        <f>Table1[[#This Row],[پیشکي پیسی]]-Table1[[#This Row],[د ۵۰ ٪ کرایی درکه]]</f>
        <v>648750</v>
      </c>
      <c r="P43" s="35"/>
      <c r="Q43" s="35"/>
      <c r="R43" s="35"/>
      <c r="S43" s="35"/>
      <c r="T43" s="35"/>
      <c r="U43" s="35"/>
      <c r="W43">
        <v>1250</v>
      </c>
    </row>
    <row r="44" spans="1:23">
      <c r="A44" s="25">
        <v>42</v>
      </c>
      <c r="B44" s="26" t="s">
        <v>93</v>
      </c>
      <c r="C44" s="26"/>
      <c r="D44" s="26" t="s">
        <v>637</v>
      </c>
      <c r="E44" s="26" t="s">
        <v>638</v>
      </c>
      <c r="F44" s="26"/>
      <c r="G44" s="26"/>
      <c r="H44"/>
      <c r="I44" s="54" t="s">
        <v>829</v>
      </c>
      <c r="J44" s="26" t="s">
        <v>271</v>
      </c>
      <c r="K44" s="37">
        <v>100000</v>
      </c>
      <c r="L44" s="35">
        <v>2500</v>
      </c>
      <c r="M44" s="57">
        <f>Table1[[#This Row],[میاشتنی کرایه]]/2</f>
        <v>1250</v>
      </c>
      <c r="N44" s="28"/>
      <c r="O44" s="35">
        <f>Table1[[#This Row],[پیشکي پیسی]]-Table1[[#This Row],[د ۵۰ ٪ کرایی درکه]]</f>
        <v>98750</v>
      </c>
      <c r="P44" s="35"/>
      <c r="Q44" s="35"/>
      <c r="R44" s="35"/>
      <c r="S44" s="35"/>
      <c r="T44" s="35"/>
      <c r="U44" s="35"/>
      <c r="W44">
        <v>2500</v>
      </c>
    </row>
    <row r="45" spans="1:23" s="90" customFormat="1">
      <c r="A45" s="85">
        <v>43</v>
      </c>
      <c r="B45" s="86" t="s">
        <v>94</v>
      </c>
      <c r="C45" s="86"/>
      <c r="D45" s="86" t="s">
        <v>327</v>
      </c>
      <c r="E45" s="86" t="s">
        <v>328</v>
      </c>
      <c r="F45" s="86" t="s">
        <v>639</v>
      </c>
      <c r="G45" s="86" t="s">
        <v>640</v>
      </c>
      <c r="H45">
        <v>25334</v>
      </c>
      <c r="I45" s="54" t="s">
        <v>829</v>
      </c>
      <c r="J45" s="86" t="s">
        <v>271</v>
      </c>
      <c r="K45" s="87">
        <v>75000</v>
      </c>
      <c r="L45" s="35">
        <v>2500</v>
      </c>
      <c r="M45" s="57">
        <f>Table1[[#This Row],[میاشتنی کرایه]]/2</f>
        <v>1250</v>
      </c>
      <c r="N45" s="89"/>
      <c r="O45" s="88">
        <f>Table1[[#This Row],[پیشکي پیسی]]-Table1[[#This Row],[د ۵۰ ٪ کرایی درکه]]</f>
        <v>73750</v>
      </c>
      <c r="P45" s="88"/>
      <c r="Q45" s="88"/>
      <c r="R45" s="88"/>
      <c r="S45" s="88"/>
      <c r="T45" s="88"/>
      <c r="U45" s="88"/>
      <c r="W45" s="90">
        <v>2500</v>
      </c>
    </row>
    <row r="46" spans="1:23" s="90" customFormat="1">
      <c r="A46" s="85">
        <v>44</v>
      </c>
      <c r="B46" s="86" t="s">
        <v>95</v>
      </c>
      <c r="C46" s="86"/>
      <c r="D46" s="86" t="s">
        <v>327</v>
      </c>
      <c r="E46" s="86" t="s">
        <v>328</v>
      </c>
      <c r="F46" s="86"/>
      <c r="G46" s="86"/>
      <c r="H46"/>
      <c r="I46" s="54" t="s">
        <v>829</v>
      </c>
      <c r="J46" s="86" t="s">
        <v>271</v>
      </c>
      <c r="K46" s="87">
        <v>75000</v>
      </c>
      <c r="L46" s="35">
        <v>2500</v>
      </c>
      <c r="M46" s="57">
        <f>Table1[[#This Row],[میاشتنی کرایه]]/2</f>
        <v>1250</v>
      </c>
      <c r="N46" s="89"/>
      <c r="O46" s="88">
        <f>Table1[[#This Row],[پیشکي پیسی]]-Table1[[#This Row],[د ۵۰ ٪ کرایی درکه]]</f>
        <v>73750</v>
      </c>
      <c r="P46" s="88"/>
      <c r="Q46" s="88"/>
      <c r="R46" s="88"/>
      <c r="S46" s="88"/>
      <c r="T46" s="88"/>
      <c r="U46" s="88"/>
      <c r="W46" s="90">
        <v>1250</v>
      </c>
    </row>
    <row r="47" spans="1:23">
      <c r="A47" s="25">
        <v>45</v>
      </c>
      <c r="B47" s="26" t="s">
        <v>96</v>
      </c>
      <c r="C47" s="26"/>
      <c r="D47" s="26" t="s">
        <v>329</v>
      </c>
      <c r="E47" s="26" t="s">
        <v>330</v>
      </c>
      <c r="F47" s="26" t="s">
        <v>641</v>
      </c>
      <c r="G47" s="26" t="s">
        <v>541</v>
      </c>
      <c r="H47">
        <v>67514</v>
      </c>
      <c r="I47" s="54" t="s">
        <v>829</v>
      </c>
      <c r="J47" s="26" t="s">
        <v>271</v>
      </c>
      <c r="K47" s="37">
        <v>100000</v>
      </c>
      <c r="L47" s="35">
        <v>2500</v>
      </c>
      <c r="M47" s="57">
        <f>Table1[[#This Row],[میاشتنی کرایه]]/2</f>
        <v>1250</v>
      </c>
      <c r="N47" s="28"/>
      <c r="O47" s="35">
        <f>Table1[[#This Row],[پیشکي پیسی]]-Table1[[#This Row],[د ۵۰ ٪ کرایی درکه]]</f>
        <v>98750</v>
      </c>
      <c r="P47" s="35"/>
      <c r="Q47" s="35"/>
      <c r="R47" s="35"/>
      <c r="S47" s="35"/>
      <c r="T47" s="35"/>
      <c r="U47" s="35"/>
      <c r="W47">
        <v>1250</v>
      </c>
    </row>
    <row r="48" spans="1:23" s="90" customFormat="1">
      <c r="A48" s="85">
        <v>46</v>
      </c>
      <c r="B48" s="86" t="s">
        <v>97</v>
      </c>
      <c r="C48" s="86"/>
      <c r="D48" s="86" t="s">
        <v>331</v>
      </c>
      <c r="E48" s="86"/>
      <c r="F48" s="86"/>
      <c r="G48" s="86"/>
      <c r="H48"/>
      <c r="I48" s="54" t="s">
        <v>829</v>
      </c>
      <c r="J48" s="86" t="s">
        <v>271</v>
      </c>
      <c r="K48" s="87">
        <v>225000</v>
      </c>
      <c r="L48" s="35">
        <v>2500</v>
      </c>
      <c r="M48" s="57">
        <f>Table1[[#This Row],[میاشتنی کرایه]]/2</f>
        <v>1250</v>
      </c>
      <c r="N48" s="89"/>
      <c r="O48" s="88">
        <f>Table1[[#This Row],[پیشکي پیسی]]-Table1[[#This Row],[د ۵۰ ٪ کرایی درکه]]</f>
        <v>223750</v>
      </c>
      <c r="P48" s="88"/>
      <c r="Q48" s="88"/>
      <c r="R48" s="88"/>
      <c r="S48" s="88"/>
      <c r="T48" s="88"/>
      <c r="U48" s="88"/>
      <c r="W48" s="90">
        <v>1500</v>
      </c>
    </row>
    <row r="49" spans="1:24" s="90" customFormat="1">
      <c r="A49" s="85">
        <v>47</v>
      </c>
      <c r="B49" s="86" t="s">
        <v>98</v>
      </c>
      <c r="C49" s="86"/>
      <c r="D49" s="86" t="s">
        <v>331</v>
      </c>
      <c r="E49" s="86"/>
      <c r="F49" s="86"/>
      <c r="G49" s="86"/>
      <c r="H49"/>
      <c r="I49" s="54" t="s">
        <v>829</v>
      </c>
      <c r="J49" s="86" t="s">
        <v>271</v>
      </c>
      <c r="K49" s="87">
        <v>225000</v>
      </c>
      <c r="L49" s="88">
        <v>3000</v>
      </c>
      <c r="M49" s="57">
        <f>Table1[[#This Row],[میاشتنی کرایه]]/2</f>
        <v>1500</v>
      </c>
      <c r="N49" s="89"/>
      <c r="O49" s="88">
        <f>Table1[[#This Row],[پیشکي پیسی]]-Table1[[#This Row],[د ۵۰ ٪ کرایی درکه]]</f>
        <v>223500</v>
      </c>
      <c r="P49" s="88"/>
      <c r="Q49" s="88"/>
      <c r="R49" s="88"/>
      <c r="S49" s="88"/>
      <c r="T49" s="88"/>
      <c r="U49" s="88"/>
      <c r="W49" s="90">
        <v>1500</v>
      </c>
    </row>
    <row r="50" spans="1:24">
      <c r="A50" s="25">
        <v>48</v>
      </c>
      <c r="B50" s="26" t="s">
        <v>99</v>
      </c>
      <c r="C50" s="26"/>
      <c r="D50" s="26" t="s">
        <v>332</v>
      </c>
      <c r="E50" s="26" t="s">
        <v>333</v>
      </c>
      <c r="F50" s="26" t="s">
        <v>642</v>
      </c>
      <c r="G50" s="26" t="s">
        <v>541</v>
      </c>
      <c r="H50">
        <v>46126</v>
      </c>
      <c r="I50" s="54" t="s">
        <v>829</v>
      </c>
      <c r="J50" s="26" t="s">
        <v>271</v>
      </c>
      <c r="K50" s="37">
        <v>258000</v>
      </c>
      <c r="L50" s="35">
        <v>3000</v>
      </c>
      <c r="M50" s="57">
        <f>Table1[[#This Row],[میاشتنی کرایه]]/2</f>
        <v>1500</v>
      </c>
      <c r="N50" s="28"/>
      <c r="O50" s="35">
        <f>Table1[[#This Row],[پیشکي پیسی]]-Table1[[#This Row],[د ۵۰ ٪ کرایی درکه]]</f>
        <v>256500</v>
      </c>
      <c r="P50" s="35"/>
      <c r="Q50" s="35"/>
      <c r="R50" s="35"/>
      <c r="S50" s="35"/>
      <c r="T50" s="35"/>
      <c r="U50" s="35"/>
      <c r="W50" s="90">
        <v>1500</v>
      </c>
    </row>
    <row r="51" spans="1:24" s="90" customFormat="1">
      <c r="A51" s="191">
        <v>49</v>
      </c>
      <c r="B51" s="193" t="s">
        <v>100</v>
      </c>
      <c r="C51" s="193"/>
      <c r="D51" s="193" t="s">
        <v>345</v>
      </c>
      <c r="E51" s="193" t="s">
        <v>346</v>
      </c>
      <c r="F51" s="193"/>
      <c r="G51" s="193"/>
      <c r="H51" s="194"/>
      <c r="I51" s="54" t="s">
        <v>829</v>
      </c>
      <c r="J51" s="193" t="s">
        <v>271</v>
      </c>
      <c r="K51" s="195" t="s">
        <v>652</v>
      </c>
      <c r="L51" s="228">
        <v>3000</v>
      </c>
      <c r="M51" s="228"/>
      <c r="N51" s="89"/>
      <c r="O51" s="88">
        <v>0</v>
      </c>
      <c r="P51" s="88"/>
      <c r="Q51" s="88"/>
      <c r="R51" s="88"/>
      <c r="S51" s="88"/>
      <c r="T51" s="88"/>
      <c r="U51" s="88"/>
      <c r="W51" s="90">
        <v>4500</v>
      </c>
    </row>
    <row r="52" spans="1:24" s="90" customFormat="1">
      <c r="A52" s="191">
        <v>50</v>
      </c>
      <c r="B52" s="193" t="s">
        <v>101</v>
      </c>
      <c r="C52" s="193"/>
      <c r="D52" s="193" t="s">
        <v>345</v>
      </c>
      <c r="E52" s="193" t="s">
        <v>346</v>
      </c>
      <c r="F52" s="193"/>
      <c r="G52" s="193"/>
      <c r="H52" s="194"/>
      <c r="I52" s="54" t="s">
        <v>829</v>
      </c>
      <c r="J52" s="193" t="s">
        <v>271</v>
      </c>
      <c r="K52" s="195" t="s">
        <v>652</v>
      </c>
      <c r="L52" s="228">
        <v>3000</v>
      </c>
      <c r="M52" s="228"/>
      <c r="N52" s="89"/>
      <c r="O52" s="88">
        <v>0</v>
      </c>
      <c r="P52" s="88"/>
      <c r="Q52" s="88"/>
      <c r="R52" s="88"/>
      <c r="S52" s="88"/>
      <c r="T52" s="88"/>
      <c r="U52" s="88"/>
      <c r="W52" s="90">
        <f>SUM(W6:W51)</f>
        <v>89750</v>
      </c>
    </row>
    <row r="53" spans="1:24" s="84" customFormat="1">
      <c r="A53" s="79">
        <v>51</v>
      </c>
      <c r="B53" s="80" t="s">
        <v>102</v>
      </c>
      <c r="C53" s="80"/>
      <c r="D53" s="80" t="s">
        <v>319</v>
      </c>
      <c r="E53" s="80" t="s">
        <v>320</v>
      </c>
      <c r="F53" s="86" t="s">
        <v>631</v>
      </c>
      <c r="G53" s="86" t="s">
        <v>541</v>
      </c>
      <c r="H53">
        <v>36314</v>
      </c>
      <c r="I53" s="54" t="s">
        <v>829</v>
      </c>
      <c r="J53" s="80" t="s">
        <v>271</v>
      </c>
      <c r="K53" s="81">
        <v>300000</v>
      </c>
      <c r="L53" s="35">
        <v>3000</v>
      </c>
      <c r="M53" s="57">
        <f>Table1[[#This Row],[میاشتنی کرایه]]/2</f>
        <v>1500</v>
      </c>
      <c r="N53" s="83"/>
      <c r="O53" s="82">
        <f>Table1[[#This Row],[پیشکي پیسی]]-Table1[[#This Row],[د ۵۰ ٪ کرایی درکه]]</f>
        <v>298500</v>
      </c>
      <c r="P53" s="82"/>
      <c r="Q53" s="82"/>
      <c r="R53" s="82"/>
      <c r="S53" s="82"/>
      <c r="T53" s="82"/>
      <c r="U53" s="82"/>
    </row>
    <row r="54" spans="1:24" s="84" customFormat="1">
      <c r="A54" s="79">
        <v>52</v>
      </c>
      <c r="B54" s="80" t="s">
        <v>103</v>
      </c>
      <c r="C54" s="80"/>
      <c r="D54" s="80" t="s">
        <v>319</v>
      </c>
      <c r="E54" s="80" t="s">
        <v>320</v>
      </c>
      <c r="F54" s="80"/>
      <c r="G54" s="80"/>
      <c r="H54"/>
      <c r="I54" s="54" t="s">
        <v>829</v>
      </c>
      <c r="J54" s="80" t="s">
        <v>271</v>
      </c>
      <c r="K54" s="81">
        <v>300000</v>
      </c>
      <c r="L54" s="35">
        <v>3000</v>
      </c>
      <c r="M54" s="57">
        <f>Table1[[#This Row],[میاشتنی کرایه]]/2</f>
        <v>1500</v>
      </c>
      <c r="N54" s="83"/>
      <c r="O54" s="82">
        <f>Table1[[#This Row],[پیشکي پیسی]]-Table1[[#This Row],[د ۵۰ ٪ کرایی درکه]]</f>
        <v>298500</v>
      </c>
      <c r="P54" s="82"/>
      <c r="Q54" s="82"/>
      <c r="R54" s="82"/>
      <c r="S54" s="82"/>
      <c r="T54" s="82"/>
      <c r="U54" s="82"/>
      <c r="X54" s="84">
        <f>W52+X52</f>
        <v>89750</v>
      </c>
    </row>
    <row r="55" spans="1:24" s="84" customFormat="1">
      <c r="A55" s="79">
        <v>53</v>
      </c>
      <c r="B55" s="80" t="s">
        <v>104</v>
      </c>
      <c r="C55" s="80"/>
      <c r="D55" s="80" t="s">
        <v>319</v>
      </c>
      <c r="E55" s="80" t="s">
        <v>320</v>
      </c>
      <c r="F55" s="80"/>
      <c r="G55" s="80"/>
      <c r="H55"/>
      <c r="I55" s="54" t="s">
        <v>829</v>
      </c>
      <c r="J55" s="80" t="s">
        <v>271</v>
      </c>
      <c r="K55" s="81">
        <v>300000</v>
      </c>
      <c r="L55" s="35">
        <v>3000</v>
      </c>
      <c r="M55" s="57">
        <f>Table1[[#This Row],[میاشتنی کرایه]]/2</f>
        <v>1500</v>
      </c>
      <c r="N55" s="83"/>
      <c r="O55" s="82">
        <f>Table1[[#This Row],[پیشکي پیسی]]-Table1[[#This Row],[د ۵۰ ٪ کرایی درکه]]</f>
        <v>298500</v>
      </c>
      <c r="P55" s="82"/>
      <c r="Q55" s="82"/>
      <c r="R55" s="82"/>
      <c r="S55" s="82"/>
      <c r="T55" s="82"/>
      <c r="U55" s="82"/>
    </row>
    <row r="56" spans="1:24">
      <c r="A56" s="25">
        <v>54</v>
      </c>
      <c r="B56" s="26" t="s">
        <v>105</v>
      </c>
      <c r="C56" s="26"/>
      <c r="D56" s="26" t="s">
        <v>331</v>
      </c>
      <c r="E56" s="26" t="s">
        <v>334</v>
      </c>
      <c r="F56" s="26" t="s">
        <v>643</v>
      </c>
      <c r="G56" s="26" t="s">
        <v>535</v>
      </c>
      <c r="H56">
        <v>411248</v>
      </c>
      <c r="I56" s="54" t="s">
        <v>829</v>
      </c>
      <c r="J56" s="26" t="s">
        <v>271</v>
      </c>
      <c r="K56" s="37">
        <v>500000</v>
      </c>
      <c r="L56" s="35">
        <v>3000</v>
      </c>
      <c r="M56" s="57">
        <f>Table1[[#This Row],[میاشتنی کرایه]]/2</f>
        <v>1500</v>
      </c>
      <c r="N56" s="28"/>
      <c r="O56" s="35">
        <f>Table1[[#This Row],[پیشکي پیسی]]-Table1[[#This Row],[د ۵۰ ٪ کرایی درکه]]</f>
        <v>498500</v>
      </c>
      <c r="P56" s="35"/>
      <c r="Q56" s="35"/>
      <c r="R56" s="35"/>
      <c r="S56" s="35"/>
      <c r="T56" s="35"/>
      <c r="U56" s="35"/>
    </row>
    <row r="57" spans="1:24">
      <c r="A57" s="25">
        <v>55</v>
      </c>
      <c r="B57" s="26" t="s">
        <v>106</v>
      </c>
      <c r="C57" s="26"/>
      <c r="D57" s="26" t="s">
        <v>644</v>
      </c>
      <c r="E57" s="26" t="s">
        <v>645</v>
      </c>
      <c r="F57" s="26" t="s">
        <v>304</v>
      </c>
      <c r="G57" s="26" t="s">
        <v>547</v>
      </c>
      <c r="H57">
        <v>17680</v>
      </c>
      <c r="I57" s="54" t="s">
        <v>829</v>
      </c>
      <c r="J57" s="26" t="s">
        <v>271</v>
      </c>
      <c r="K57" s="37">
        <v>300000</v>
      </c>
      <c r="L57" s="35">
        <v>3000</v>
      </c>
      <c r="M57" s="57">
        <f>Table1[[#This Row],[میاشتنی کرایه]]/2</f>
        <v>1500</v>
      </c>
      <c r="N57" s="28"/>
      <c r="O57" s="35">
        <f>Table1[[#This Row],[پیشکي پیسی]]-Table1[[#This Row],[د ۵۰ ٪ کرایی درکه]]</f>
        <v>298500</v>
      </c>
      <c r="P57" s="35"/>
      <c r="Q57" s="35"/>
      <c r="R57" s="35"/>
      <c r="S57" s="35"/>
      <c r="T57" s="35"/>
      <c r="U57" s="35"/>
    </row>
    <row r="58" spans="1:24">
      <c r="A58" s="25">
        <v>56</v>
      </c>
      <c r="B58" s="26" t="s">
        <v>107</v>
      </c>
      <c r="C58" s="26"/>
      <c r="D58" s="26" t="s">
        <v>335</v>
      </c>
      <c r="E58" s="26" t="s">
        <v>336</v>
      </c>
      <c r="F58" s="26" t="s">
        <v>646</v>
      </c>
      <c r="G58" s="26" t="s">
        <v>541</v>
      </c>
      <c r="H58">
        <v>46238</v>
      </c>
      <c r="I58" s="54" t="s">
        <v>829</v>
      </c>
      <c r="J58" s="26" t="s">
        <v>271</v>
      </c>
      <c r="K58" s="37">
        <v>300000</v>
      </c>
      <c r="L58" s="35">
        <v>3000</v>
      </c>
      <c r="M58" s="57">
        <f>Table1[[#This Row],[میاشتنی کرایه]]/2</f>
        <v>1500</v>
      </c>
      <c r="N58" s="28"/>
      <c r="O58" s="35">
        <f>Table1[[#This Row],[پیشکي پیسی]]-Table1[[#This Row],[د ۵۰ ٪ کرایی درکه]]</f>
        <v>298500</v>
      </c>
      <c r="P58" s="35"/>
      <c r="Q58" s="35"/>
      <c r="R58" s="35"/>
      <c r="S58" s="35"/>
      <c r="T58" s="35"/>
      <c r="U58" s="35"/>
    </row>
    <row r="59" spans="1:24">
      <c r="A59" s="25">
        <v>57</v>
      </c>
      <c r="B59" s="26" t="s">
        <v>108</v>
      </c>
      <c r="C59" s="26"/>
      <c r="D59" s="26" t="s">
        <v>337</v>
      </c>
      <c r="E59" s="26" t="s">
        <v>338</v>
      </c>
      <c r="F59" s="26" t="s">
        <v>284</v>
      </c>
      <c r="G59" s="26" t="s">
        <v>647</v>
      </c>
      <c r="H59">
        <v>987547</v>
      </c>
      <c r="I59" s="54" t="s">
        <v>829</v>
      </c>
      <c r="J59" s="26" t="s">
        <v>271</v>
      </c>
      <c r="K59" s="37">
        <v>100000</v>
      </c>
      <c r="L59" s="35">
        <v>2500</v>
      </c>
      <c r="M59" s="57">
        <f>Table1[[#This Row],[میاشتنی کرایه]]/2</f>
        <v>1250</v>
      </c>
      <c r="N59" s="28"/>
      <c r="O59" s="35">
        <f>Table1[[#This Row],[پیشکي پیسی]]-Table1[[#This Row],[د ۵۰ ٪ کرایی درکه]]</f>
        <v>98750</v>
      </c>
      <c r="P59" s="35"/>
      <c r="Q59" s="35"/>
      <c r="R59" s="35"/>
      <c r="S59" s="35"/>
      <c r="T59" s="35"/>
      <c r="U59" s="35"/>
    </row>
    <row r="60" spans="1:24">
      <c r="A60" s="25">
        <v>58</v>
      </c>
      <c r="B60" s="26" t="s">
        <v>109</v>
      </c>
      <c r="C60" s="26"/>
      <c r="D60" s="26" t="s">
        <v>339</v>
      </c>
      <c r="E60" s="26" t="s">
        <v>340</v>
      </c>
      <c r="F60" s="26" t="s">
        <v>648</v>
      </c>
      <c r="G60" s="26" t="s">
        <v>649</v>
      </c>
      <c r="H60">
        <v>1740559</v>
      </c>
      <c r="I60" s="54" t="s">
        <v>829</v>
      </c>
      <c r="J60" s="26" t="s">
        <v>271</v>
      </c>
      <c r="K60" s="37">
        <v>160000</v>
      </c>
      <c r="L60" s="35">
        <v>2500</v>
      </c>
      <c r="M60" s="57">
        <f>Table1[[#This Row],[میاشتنی کرایه]]/2</f>
        <v>1250</v>
      </c>
      <c r="N60" s="28"/>
      <c r="O60" s="35">
        <f>Table1[[#This Row],[پیشکي پیسی]]-Table1[[#This Row],[د ۵۰ ٪ کرایی درکه]]</f>
        <v>158750</v>
      </c>
      <c r="P60" s="35"/>
      <c r="Q60" s="35"/>
      <c r="R60" s="35"/>
      <c r="S60" s="35"/>
      <c r="T60" s="35"/>
      <c r="U60" s="35"/>
    </row>
    <row r="61" spans="1:24">
      <c r="A61" s="191">
        <v>59</v>
      </c>
      <c r="B61" s="193" t="s">
        <v>110</v>
      </c>
      <c r="C61" s="193"/>
      <c r="D61" s="193" t="s">
        <v>341</v>
      </c>
      <c r="E61" s="193" t="s">
        <v>342</v>
      </c>
      <c r="F61" s="193" t="s">
        <v>481</v>
      </c>
      <c r="G61" s="193" t="s">
        <v>535</v>
      </c>
      <c r="H61" s="194">
        <v>12110313</v>
      </c>
      <c r="I61" s="54" t="s">
        <v>829</v>
      </c>
      <c r="J61" s="193" t="s">
        <v>271</v>
      </c>
      <c r="K61" s="195" t="s">
        <v>652</v>
      </c>
      <c r="L61" s="228">
        <v>2500</v>
      </c>
      <c r="M61" s="228"/>
      <c r="N61" s="28"/>
      <c r="O61" s="35">
        <v>0</v>
      </c>
      <c r="P61" s="35"/>
      <c r="Q61" s="35"/>
      <c r="R61" s="35"/>
      <c r="S61" s="35"/>
      <c r="T61" s="35"/>
      <c r="U61" s="35"/>
    </row>
    <row r="62" spans="1:24">
      <c r="A62" s="191">
        <v>60</v>
      </c>
      <c r="B62" s="193" t="s">
        <v>111</v>
      </c>
      <c r="C62" s="193"/>
      <c r="D62" s="193" t="s">
        <v>343</v>
      </c>
      <c r="E62" s="193" t="s">
        <v>344</v>
      </c>
      <c r="F62" s="193" t="s">
        <v>650</v>
      </c>
      <c r="G62" s="193" t="s">
        <v>547</v>
      </c>
      <c r="H62" s="194">
        <v>17256351</v>
      </c>
      <c r="I62" s="54" t="s">
        <v>829</v>
      </c>
      <c r="J62" s="193" t="s">
        <v>271</v>
      </c>
      <c r="K62" s="195" t="s">
        <v>652</v>
      </c>
      <c r="L62" s="228">
        <v>2500</v>
      </c>
      <c r="M62" s="228"/>
      <c r="N62" s="28"/>
      <c r="O62" s="35">
        <v>0</v>
      </c>
      <c r="P62" s="35"/>
      <c r="Q62" s="35"/>
      <c r="R62" s="35"/>
      <c r="S62" s="35"/>
      <c r="T62" s="35"/>
      <c r="U62" s="35"/>
    </row>
    <row r="63" spans="1:24">
      <c r="A63" s="25">
        <v>61</v>
      </c>
      <c r="B63" s="26" t="s">
        <v>112</v>
      </c>
      <c r="C63" s="26"/>
      <c r="D63" s="26" t="s">
        <v>446</v>
      </c>
      <c r="E63" s="26" t="s">
        <v>447</v>
      </c>
      <c r="F63" s="26" t="s">
        <v>651</v>
      </c>
      <c r="G63" s="26" t="s">
        <v>541</v>
      </c>
      <c r="H63">
        <v>36286</v>
      </c>
      <c r="I63" s="54" t="s">
        <v>829</v>
      </c>
      <c r="J63" s="26" t="s">
        <v>271</v>
      </c>
      <c r="K63" s="37">
        <v>300000</v>
      </c>
      <c r="L63" s="35">
        <v>2500</v>
      </c>
      <c r="M63" s="57">
        <f>Table1[[#This Row],[میاشتنی کرایه]]/2</f>
        <v>1250</v>
      </c>
      <c r="N63" s="28"/>
      <c r="O63" s="35">
        <f>Table1[[#This Row],[پیشکي پیسی]]-Table1[[#This Row],[د ۵۰ ٪ کرایی درکه]]</f>
        <v>298750</v>
      </c>
      <c r="P63" s="35"/>
      <c r="Q63" s="35"/>
      <c r="R63" s="35"/>
      <c r="S63" s="35"/>
      <c r="T63" s="35"/>
      <c r="U63" s="35"/>
    </row>
    <row r="64" spans="1:24">
      <c r="A64" s="25">
        <v>62</v>
      </c>
      <c r="B64" s="26" t="s">
        <v>113</v>
      </c>
      <c r="C64" s="26"/>
      <c r="D64" s="26" t="s">
        <v>446</v>
      </c>
      <c r="E64" s="26" t="s">
        <v>447</v>
      </c>
      <c r="F64" s="26" t="s">
        <v>651</v>
      </c>
      <c r="G64" s="26" t="s">
        <v>541</v>
      </c>
      <c r="H64">
        <v>36286</v>
      </c>
      <c r="I64" s="54" t="s">
        <v>829</v>
      </c>
      <c r="J64" s="26" t="s">
        <v>271</v>
      </c>
      <c r="K64" s="37">
        <v>0</v>
      </c>
      <c r="L64" s="35">
        <v>2000</v>
      </c>
      <c r="M64" s="57">
        <f>Table1[[#This Row],[میاشتنی کرایه]]/2</f>
        <v>1000</v>
      </c>
      <c r="N64" s="28"/>
      <c r="O64" s="35">
        <f>Table1[[#This Row],[پیشکي پیسی]]-Table1[[#This Row],[د ۵۰ ٪ کرایی درکه]]</f>
        <v>-1000</v>
      </c>
      <c r="P64" s="35"/>
      <c r="Q64" s="35"/>
      <c r="R64" s="35"/>
      <c r="S64" s="35"/>
      <c r="T64" s="35"/>
      <c r="U64" s="35"/>
    </row>
    <row r="65" spans="1:21">
      <c r="A65" s="25">
        <v>63</v>
      </c>
      <c r="B65" s="26" t="s">
        <v>114</v>
      </c>
      <c r="C65" s="26"/>
      <c r="D65" s="26" t="s">
        <v>276</v>
      </c>
      <c r="E65" s="26" t="s">
        <v>653</v>
      </c>
      <c r="F65" s="26" t="s">
        <v>654</v>
      </c>
      <c r="G65" s="26" t="s">
        <v>527</v>
      </c>
      <c r="H65">
        <v>984092</v>
      </c>
      <c r="I65" s="54" t="s">
        <v>829</v>
      </c>
      <c r="J65" s="26" t="s">
        <v>271</v>
      </c>
      <c r="K65" s="37">
        <v>50000</v>
      </c>
      <c r="L65" s="35">
        <v>2000</v>
      </c>
      <c r="M65" s="57">
        <f>Table1[[#This Row],[میاشتنی کرایه]]/2</f>
        <v>1000</v>
      </c>
      <c r="N65" s="28"/>
      <c r="O65" s="35">
        <f>Table1[[#This Row],[پیشکي پیسی]]-Table1[[#This Row],[د ۵۰ ٪ کرایی درکه]]</f>
        <v>49000</v>
      </c>
      <c r="P65" s="35"/>
      <c r="Q65" s="35"/>
      <c r="R65" s="35"/>
      <c r="S65" s="35"/>
      <c r="T65" s="35"/>
      <c r="U65" s="35"/>
    </row>
    <row r="66" spans="1:21">
      <c r="A66" s="25">
        <v>64</v>
      </c>
      <c r="B66" s="26" t="s">
        <v>115</v>
      </c>
      <c r="C66" s="26"/>
      <c r="D66" s="26" t="s">
        <v>353</v>
      </c>
      <c r="E66" s="26" t="s">
        <v>386</v>
      </c>
      <c r="F66" s="26" t="s">
        <v>655</v>
      </c>
      <c r="G66" s="26" t="s">
        <v>656</v>
      </c>
      <c r="H66">
        <v>101411</v>
      </c>
      <c r="I66" s="54" t="s">
        <v>829</v>
      </c>
      <c r="J66" s="26" t="s">
        <v>271</v>
      </c>
      <c r="K66" s="37">
        <v>87000</v>
      </c>
      <c r="L66" s="35">
        <v>2000</v>
      </c>
      <c r="M66" s="57">
        <f>Table1[[#This Row],[میاشتنی کرایه]]/2</f>
        <v>1000</v>
      </c>
      <c r="N66" s="28"/>
      <c r="O66" s="35">
        <f>Table1[[#This Row],[پیشکي پیسی]]-Table1[[#This Row],[د ۵۰ ٪ کرایی درکه]]</f>
        <v>86000</v>
      </c>
      <c r="P66" s="35"/>
      <c r="Q66" s="35"/>
      <c r="R66" s="35"/>
      <c r="S66" s="35"/>
      <c r="T66" s="35"/>
      <c r="U66" s="35"/>
    </row>
    <row r="67" spans="1:21">
      <c r="A67" s="25">
        <v>65</v>
      </c>
      <c r="B67" s="26" t="s">
        <v>116</v>
      </c>
      <c r="C67" s="26"/>
      <c r="D67" s="26" t="s">
        <v>448</v>
      </c>
      <c r="E67" s="26" t="s">
        <v>449</v>
      </c>
      <c r="F67" s="26" t="s">
        <v>657</v>
      </c>
      <c r="G67" s="26" t="s">
        <v>656</v>
      </c>
      <c r="H67">
        <v>30701781</v>
      </c>
      <c r="I67" s="54" t="s">
        <v>829</v>
      </c>
      <c r="J67" s="26" t="s">
        <v>271</v>
      </c>
      <c r="K67" s="37">
        <v>100000</v>
      </c>
      <c r="L67" s="35">
        <v>2000</v>
      </c>
      <c r="M67" s="57">
        <f>Table1[[#This Row],[میاشتنی کرایه]]/2</f>
        <v>1000</v>
      </c>
      <c r="N67" s="28"/>
      <c r="O67" s="35">
        <f>Table1[[#This Row],[پیشکي پیسی]]-Table1[[#This Row],[د ۵۰ ٪ کرایی درکه]]</f>
        <v>99000</v>
      </c>
      <c r="P67" s="35"/>
      <c r="Q67" s="35"/>
      <c r="R67" s="35"/>
      <c r="S67" s="35"/>
      <c r="T67" s="35"/>
      <c r="U67" s="35"/>
    </row>
    <row r="68" spans="1:21">
      <c r="A68" s="25">
        <v>66</v>
      </c>
      <c r="B68" s="26" t="s">
        <v>117</v>
      </c>
      <c r="C68" s="26"/>
      <c r="D68" s="26" t="s">
        <v>450</v>
      </c>
      <c r="E68" s="26" t="s">
        <v>451</v>
      </c>
      <c r="F68" s="26" t="s">
        <v>658</v>
      </c>
      <c r="G68" s="26" t="s">
        <v>659</v>
      </c>
      <c r="H68">
        <v>3363944</v>
      </c>
      <c r="I68" s="54" t="s">
        <v>829</v>
      </c>
      <c r="J68" s="26" t="s">
        <v>271</v>
      </c>
      <c r="K68" s="37">
        <v>100000</v>
      </c>
      <c r="L68" s="35">
        <v>2000</v>
      </c>
      <c r="M68" s="57">
        <f>Table1[[#This Row],[میاشتنی کرایه]]/2</f>
        <v>1000</v>
      </c>
      <c r="N68" s="28"/>
      <c r="O68" s="35">
        <f>Table1[[#This Row],[پیشکي پیسی]]-Table1[[#This Row],[د ۵۰ ٪ کرایی درکه]]</f>
        <v>99000</v>
      </c>
      <c r="P68" s="35"/>
      <c r="Q68" s="35"/>
      <c r="R68" s="35"/>
      <c r="S68" s="35"/>
      <c r="T68" s="35"/>
      <c r="U68" s="35"/>
    </row>
    <row r="69" spans="1:21">
      <c r="A69" s="25">
        <v>67</v>
      </c>
      <c r="B69" s="26" t="s">
        <v>118</v>
      </c>
      <c r="C69" s="26"/>
      <c r="D69" s="26" t="s">
        <v>452</v>
      </c>
      <c r="E69" s="26" t="s">
        <v>294</v>
      </c>
      <c r="F69" s="26" t="s">
        <v>615</v>
      </c>
      <c r="G69" s="26" t="s">
        <v>547</v>
      </c>
      <c r="H69">
        <v>17256981</v>
      </c>
      <c r="I69" s="54" t="s">
        <v>829</v>
      </c>
      <c r="J69" s="26" t="s">
        <v>271</v>
      </c>
      <c r="K69" s="37">
        <v>400000</v>
      </c>
      <c r="L69" s="35">
        <v>2000</v>
      </c>
      <c r="M69" s="57">
        <f>Table1[[#This Row],[میاشتنی کرایه]]/2</f>
        <v>1000</v>
      </c>
      <c r="N69" s="28"/>
      <c r="O69" s="35">
        <f>Table1[[#This Row],[پیشکي پیسی]]-Table1[[#This Row],[د ۵۰ ٪ کرایی درکه]]</f>
        <v>399000</v>
      </c>
      <c r="P69" s="35"/>
      <c r="Q69" s="35"/>
      <c r="R69" s="35"/>
      <c r="S69" s="35"/>
      <c r="T69" s="35"/>
      <c r="U69" s="35"/>
    </row>
    <row r="70" spans="1:21">
      <c r="A70" s="25">
        <v>68</v>
      </c>
      <c r="B70" s="26" t="s">
        <v>119</v>
      </c>
      <c r="C70" s="26"/>
      <c r="D70" s="26" t="s">
        <v>453</v>
      </c>
      <c r="E70" s="26" t="s">
        <v>454</v>
      </c>
      <c r="F70" s="26" t="s">
        <v>660</v>
      </c>
      <c r="G70" s="26" t="s">
        <v>596</v>
      </c>
      <c r="H70">
        <v>163030071</v>
      </c>
      <c r="I70" s="54" t="s">
        <v>829</v>
      </c>
      <c r="J70" s="26" t="s">
        <v>271</v>
      </c>
      <c r="K70" s="37">
        <v>90000</v>
      </c>
      <c r="L70" s="35">
        <v>2000</v>
      </c>
      <c r="M70" s="57">
        <f>Table1[[#This Row],[میاشتنی کرایه]]/2</f>
        <v>1000</v>
      </c>
      <c r="N70" s="28"/>
      <c r="O70" s="35">
        <f>Table1[[#This Row],[پیشکي پیسی]]-Table1[[#This Row],[د ۵۰ ٪ کرایی درکه]]</f>
        <v>89000</v>
      </c>
      <c r="P70" s="35"/>
      <c r="Q70" s="35"/>
      <c r="R70" s="35"/>
      <c r="S70" s="35"/>
      <c r="T70" s="35"/>
      <c r="U70" s="35"/>
    </row>
    <row r="71" spans="1:21">
      <c r="A71" s="25">
        <v>69</v>
      </c>
      <c r="B71" s="26" t="s">
        <v>120</v>
      </c>
      <c r="C71" s="26"/>
      <c r="D71" s="26" t="s">
        <v>426</v>
      </c>
      <c r="E71" s="26" t="s">
        <v>455</v>
      </c>
      <c r="F71" s="26" t="s">
        <v>661</v>
      </c>
      <c r="G71" s="26" t="s">
        <v>541</v>
      </c>
      <c r="H71">
        <v>79996</v>
      </c>
      <c r="I71" s="54" t="s">
        <v>829</v>
      </c>
      <c r="J71" s="26" t="s">
        <v>271</v>
      </c>
      <c r="K71" s="37">
        <v>150000</v>
      </c>
      <c r="L71" s="35">
        <v>2000</v>
      </c>
      <c r="M71" s="57">
        <f>Table1[[#This Row],[میاشتنی کرایه]]/2</f>
        <v>1000</v>
      </c>
      <c r="N71" s="28"/>
      <c r="O71" s="35">
        <f>Table1[[#This Row],[پیشکي پیسی]]-Table1[[#This Row],[د ۵۰ ٪ کرایی درکه]]</f>
        <v>149000</v>
      </c>
      <c r="P71" s="35"/>
      <c r="Q71" s="35"/>
      <c r="R71" s="35"/>
      <c r="S71" s="35"/>
      <c r="T71" s="35"/>
      <c r="U71" s="35"/>
    </row>
    <row r="72" spans="1:21">
      <c r="A72" s="191">
        <v>70</v>
      </c>
      <c r="B72" s="193" t="s">
        <v>121</v>
      </c>
      <c r="C72" s="193"/>
      <c r="D72" s="193" t="s">
        <v>456</v>
      </c>
      <c r="E72" s="193" t="s">
        <v>457</v>
      </c>
      <c r="F72" s="193" t="s">
        <v>662</v>
      </c>
      <c r="G72" s="193" t="s">
        <v>541</v>
      </c>
      <c r="H72" s="194">
        <v>75580</v>
      </c>
      <c r="I72" s="54" t="s">
        <v>829</v>
      </c>
      <c r="J72" s="193" t="s">
        <v>271</v>
      </c>
      <c r="K72" s="195" t="s">
        <v>652</v>
      </c>
      <c r="L72" s="228">
        <v>2000</v>
      </c>
      <c r="M72" s="228"/>
      <c r="N72" s="28"/>
      <c r="O72" s="35">
        <v>0</v>
      </c>
      <c r="P72" s="35"/>
      <c r="Q72" s="35"/>
      <c r="R72" s="35"/>
      <c r="S72" s="35"/>
      <c r="T72" s="35"/>
      <c r="U72" s="35"/>
    </row>
    <row r="73" spans="1:21">
      <c r="A73" s="25">
        <v>71</v>
      </c>
      <c r="B73" s="26" t="s">
        <v>122</v>
      </c>
      <c r="C73" s="26"/>
      <c r="D73" s="26" t="s">
        <v>321</v>
      </c>
      <c r="E73" s="26" t="s">
        <v>735</v>
      </c>
      <c r="F73" s="40" t="s">
        <v>736</v>
      </c>
      <c r="G73" s="40" t="s">
        <v>607</v>
      </c>
      <c r="H73">
        <v>10310</v>
      </c>
      <c r="I73" s="54" t="s">
        <v>829</v>
      </c>
      <c r="J73" s="26" t="s">
        <v>271</v>
      </c>
      <c r="K73" s="37">
        <v>89000</v>
      </c>
      <c r="L73" s="35">
        <v>2000</v>
      </c>
      <c r="M73" s="57">
        <f>Table1[[#This Row],[میاشتنی کرایه]]/2</f>
        <v>1000</v>
      </c>
      <c r="N73" s="28"/>
      <c r="O73" s="35">
        <f>Table1[[#This Row],[پیشکي پیسی]]-Table1[[#This Row],[د ۵۰ ٪ کرایی درکه]]</f>
        <v>88000</v>
      </c>
      <c r="P73" s="35"/>
      <c r="Q73" s="35"/>
      <c r="R73" s="35"/>
      <c r="S73" s="35"/>
      <c r="T73" s="35"/>
      <c r="U73" s="35"/>
    </row>
    <row r="74" spans="1:21">
      <c r="A74" s="25">
        <v>72</v>
      </c>
      <c r="B74" s="26" t="s">
        <v>123</v>
      </c>
      <c r="C74" s="26"/>
      <c r="D74" s="26" t="s">
        <v>459</v>
      </c>
      <c r="E74" s="26" t="s">
        <v>460</v>
      </c>
      <c r="F74" s="26" t="s">
        <v>664</v>
      </c>
      <c r="G74" s="26" t="s">
        <v>665</v>
      </c>
      <c r="H74">
        <v>15758775</v>
      </c>
      <c r="I74" s="54" t="s">
        <v>829</v>
      </c>
      <c r="J74" s="26" t="s">
        <v>271</v>
      </c>
      <c r="K74" s="37">
        <v>100000</v>
      </c>
      <c r="L74" s="35">
        <v>2500</v>
      </c>
      <c r="M74" s="57">
        <f>Table1[[#This Row],[میاشتنی کرایه]]/2</f>
        <v>1250</v>
      </c>
      <c r="N74" s="28"/>
      <c r="O74" s="104">
        <f>Table1[[#This Row],[پیشکي پیسی]]-Table1[[#This Row],[د ۵۰ ٪ کرایی درکه]]</f>
        <v>98750</v>
      </c>
      <c r="P74" s="104"/>
      <c r="Q74" s="104"/>
      <c r="R74" s="104"/>
      <c r="S74" s="104"/>
      <c r="T74" s="104"/>
      <c r="U74" s="104"/>
    </row>
    <row r="75" spans="1:21">
      <c r="A75" s="113"/>
      <c r="B75" s="38"/>
      <c r="C75" s="38"/>
      <c r="D75" s="38"/>
      <c r="E75" s="38"/>
      <c r="F75" s="38"/>
      <c r="G75" s="38"/>
      <c r="H75" s="122"/>
      <c r="I75" s="38"/>
      <c r="J75" s="38"/>
      <c r="K75" s="229"/>
      <c r="L75" s="230">
        <f>SUBTOTAL(109,Table1[میاشتنی کرایه])</f>
        <v>183500</v>
      </c>
      <c r="M75" s="230">
        <f>SUBTOTAL(109,Table1[د ۵۰ ٪ کرایی درکه])</f>
        <v>84000</v>
      </c>
      <c r="N75" s="39"/>
      <c r="O75" s="231"/>
      <c r="P75" s="231"/>
      <c r="Q75" s="231"/>
      <c r="R75" s="231"/>
      <c r="S75" s="231"/>
      <c r="T75" s="231"/>
      <c r="U75" s="231"/>
    </row>
    <row r="78" spans="1:21">
      <c r="M78" s="20">
        <f>Table1[[#Totals],[میاشتنی کرایه]]-Table1[[#Totals],[د ۵۰ ٪ کرایی درکه]]</f>
        <v>99500</v>
      </c>
    </row>
    <row r="85" spans="12:12">
      <c r="L85" s="20">
        <f>M83-K83</f>
        <v>0</v>
      </c>
    </row>
  </sheetData>
  <sheetProtection insertColumns="0" insertRows="0" deleteColumns="0" deleteRows="0"/>
  <mergeCells count="2">
    <mergeCell ref="A1:N1"/>
    <mergeCell ref="O1:U1"/>
  </mergeCells>
  <pageMargins left="0.18" right="0.23" top="0.75" bottom="0.75" header="0.3" footer="0.3"/>
  <pageSetup scale="80" orientation="landscape" horizontalDpi="360" verticalDpi="36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64"/>
  <sheetViews>
    <sheetView rightToLeft="1" topLeftCell="A32" zoomScale="80" zoomScaleNormal="80" workbookViewId="0">
      <selection activeCell="B56" sqref="B56"/>
    </sheetView>
  </sheetViews>
  <sheetFormatPr defaultRowHeight="18"/>
  <cols>
    <col min="1" max="1" width="4.1640625" customWidth="1"/>
    <col min="2" max="2" width="36.83203125" bestFit="1" customWidth="1"/>
    <col min="4" max="4" width="8.4140625" bestFit="1" customWidth="1"/>
    <col min="7" max="7" width="13.1640625" customWidth="1"/>
    <col min="8" max="8" width="12.6640625" customWidth="1"/>
    <col min="9" max="9" width="10.5" bestFit="1" customWidth="1"/>
  </cols>
  <sheetData>
    <row r="3" spans="3:11" ht="18.600000000000001" thickBot="1">
      <c r="E3" t="s">
        <v>43</v>
      </c>
      <c r="F3" t="s">
        <v>347</v>
      </c>
    </row>
    <row r="4" spans="3:11">
      <c r="D4" t="s">
        <v>271</v>
      </c>
      <c r="E4" s="124">
        <f>SUBTOTAL(109,Table1[میاشتنی کرایه])</f>
        <v>183500</v>
      </c>
      <c r="F4" s="124">
        <v>84000</v>
      </c>
      <c r="I4" t="s">
        <v>703</v>
      </c>
      <c r="J4">
        <v>284000</v>
      </c>
    </row>
    <row r="5" spans="3:11">
      <c r="D5" t="s">
        <v>48</v>
      </c>
      <c r="E5" s="125">
        <v>306500</v>
      </c>
      <c r="F5" s="125">
        <v>136250</v>
      </c>
      <c r="I5" t="s">
        <v>704</v>
      </c>
      <c r="J5">
        <v>4350</v>
      </c>
    </row>
    <row r="6" spans="3:11">
      <c r="D6" t="s">
        <v>701</v>
      </c>
      <c r="E6" s="126">
        <f>SUBTOTAL(109,Table145[میاشتنی کرایه])</f>
        <v>125000</v>
      </c>
      <c r="F6" s="127">
        <f>SUBTOTAL(109,Table145[د ۵۰ ٪ کرایی درکه])</f>
        <v>51750</v>
      </c>
      <c r="I6" t="s">
        <v>467</v>
      </c>
      <c r="J6">
        <v>12000</v>
      </c>
    </row>
    <row r="7" spans="3:11">
      <c r="D7" t="s">
        <v>419</v>
      </c>
      <c r="E7" s="125">
        <v>12000</v>
      </c>
      <c r="F7" s="125">
        <v>4000</v>
      </c>
      <c r="I7" t="s">
        <v>705</v>
      </c>
      <c r="J7">
        <v>2000</v>
      </c>
    </row>
    <row r="8" spans="3:11" ht="18.600000000000001" thickBot="1">
      <c r="D8" t="s">
        <v>702</v>
      </c>
      <c r="E8" s="128">
        <v>5000</v>
      </c>
      <c r="F8" s="128">
        <v>1500</v>
      </c>
      <c r="J8">
        <v>28100</v>
      </c>
    </row>
    <row r="9" spans="3:11">
      <c r="E9" s="123">
        <f>SUM(E4:E8)</f>
        <v>632000</v>
      </c>
      <c r="F9" s="123">
        <f>SUM(F4:F8)</f>
        <v>277500</v>
      </c>
      <c r="J9">
        <v>8000</v>
      </c>
    </row>
    <row r="10" spans="3:11">
      <c r="J10">
        <f>SUM(J4:J9)</f>
        <v>338450</v>
      </c>
    </row>
    <row r="11" spans="3:11">
      <c r="E11" s="123">
        <f>E9-F9</f>
        <v>354500</v>
      </c>
      <c r="J11" s="123"/>
      <c r="K11" s="20"/>
    </row>
    <row r="12" spans="3:11">
      <c r="C12" s="123"/>
    </row>
    <row r="13" spans="3:11">
      <c r="G13" s="123"/>
      <c r="I13">
        <v>8500</v>
      </c>
    </row>
    <row r="14" spans="3:11">
      <c r="E14" s="123"/>
      <c r="I14">
        <v>12000</v>
      </c>
    </row>
    <row r="15" spans="3:11">
      <c r="C15" s="123"/>
      <c r="G15" s="123"/>
      <c r="I15">
        <v>2000</v>
      </c>
    </row>
    <row r="16" spans="3:11">
      <c r="E16" s="123"/>
      <c r="G16" s="123">
        <f>E11-I16</f>
        <v>332000</v>
      </c>
      <c r="I16">
        <f>SUM(I13:I15)</f>
        <v>22500</v>
      </c>
    </row>
    <row r="18" spans="2:12">
      <c r="E18" s="123"/>
    </row>
    <row r="19" spans="2:12">
      <c r="L19" s="123"/>
    </row>
    <row r="28" spans="2:12" ht="18.600000000000001" thickBot="1"/>
    <row r="29" spans="2:12" ht="18.600000000000001" thickBot="1">
      <c r="C29" s="157" t="s">
        <v>828</v>
      </c>
      <c r="D29" s="158"/>
      <c r="E29" s="158"/>
      <c r="F29" s="158"/>
      <c r="G29" s="158"/>
      <c r="H29" s="159"/>
    </row>
    <row r="30" spans="2:12" ht="18.600000000000001" thickBot="1"/>
    <row r="31" spans="2:12" ht="18.600000000000001" thickBot="1">
      <c r="B31" s="153" t="s">
        <v>707</v>
      </c>
      <c r="C31" s="154">
        <v>643500</v>
      </c>
    </row>
    <row r="32" spans="2:12" ht="18.600000000000001" thickBot="1">
      <c r="B32" s="155" t="s">
        <v>713</v>
      </c>
      <c r="C32" s="2">
        <v>285000</v>
      </c>
      <c r="D32" s="134" t="s">
        <v>715</v>
      </c>
      <c r="E32" s="135">
        <f>C43/12</f>
        <v>44333.333333333336</v>
      </c>
      <c r="F32" s="136">
        <f>E32*4</f>
        <v>177333.33333333334</v>
      </c>
    </row>
    <row r="33" spans="2:12" ht="18.600000000000001" thickBot="1">
      <c r="B33" s="155" t="s">
        <v>706</v>
      </c>
      <c r="C33" s="2">
        <v>358500</v>
      </c>
      <c r="D33" s="137" t="s">
        <v>715</v>
      </c>
      <c r="E33" s="138">
        <f>E32</f>
        <v>44333.333333333336</v>
      </c>
      <c r="F33" s="139">
        <f>F32</f>
        <v>177333.33333333334</v>
      </c>
      <c r="G33" t="s">
        <v>757</v>
      </c>
      <c r="H33" t="s">
        <v>758</v>
      </c>
    </row>
    <row r="34" spans="2:12" ht="18.600000000000001" thickBot="1">
      <c r="B34" s="155" t="s">
        <v>818</v>
      </c>
      <c r="C34" s="2">
        <v>180000</v>
      </c>
      <c r="D34" s="144" t="s">
        <v>716</v>
      </c>
      <c r="E34" s="145"/>
      <c r="F34" s="146">
        <f>E33*2</f>
        <v>88666.666666666672</v>
      </c>
      <c r="G34" s="140">
        <f>F34-12000</f>
        <v>76666.666666666672</v>
      </c>
      <c r="H34" s="141">
        <f>G34-2500</f>
        <v>74166.666666666672</v>
      </c>
    </row>
    <row r="35" spans="2:12" ht="18.600000000000001" thickBot="1">
      <c r="B35" s="155" t="s">
        <v>708</v>
      </c>
      <c r="C35" s="2">
        <v>2500</v>
      </c>
      <c r="D35" s="147" t="s">
        <v>714</v>
      </c>
      <c r="E35" s="148"/>
      <c r="F35" s="149">
        <f>E33</f>
        <v>44333.333333333336</v>
      </c>
      <c r="G35" s="142"/>
      <c r="H35" s="143" t="s">
        <v>759</v>
      </c>
    </row>
    <row r="36" spans="2:12" ht="18.600000000000001" thickBot="1">
      <c r="B36" s="155" t="s">
        <v>709</v>
      </c>
      <c r="C36" s="2">
        <f>C33+C35+C34</f>
        <v>541000</v>
      </c>
      <c r="D36" s="150" t="s">
        <v>714</v>
      </c>
      <c r="E36" s="151"/>
      <c r="F36" s="152">
        <f>E33</f>
        <v>44333.333333333336</v>
      </c>
    </row>
    <row r="37" spans="2:12">
      <c r="B37" s="155" t="s">
        <v>710</v>
      </c>
      <c r="C37" s="2">
        <v>5000</v>
      </c>
      <c r="E37" s="190"/>
      <c r="F37" s="190">
        <v>0</v>
      </c>
      <c r="G37" s="190"/>
    </row>
    <row r="38" spans="2:12">
      <c r="B38" s="155"/>
      <c r="C38" s="2"/>
      <c r="F38">
        <f>SUM(F32:F37)</f>
        <v>532000</v>
      </c>
      <c r="I38" s="133"/>
    </row>
    <row r="39" spans="2:12">
      <c r="B39" s="155" t="s">
        <v>711</v>
      </c>
      <c r="C39" s="2"/>
      <c r="G39">
        <f>F38-F36</f>
        <v>487666.66666666669</v>
      </c>
    </row>
    <row r="40" spans="2:12">
      <c r="B40" s="214" t="s">
        <v>755</v>
      </c>
      <c r="C40" s="208">
        <v>3000</v>
      </c>
    </row>
    <row r="41" spans="2:12">
      <c r="B41" s="214" t="s">
        <v>813</v>
      </c>
      <c r="C41" s="208"/>
    </row>
    <row r="42" spans="2:12">
      <c r="B42" s="207" t="s">
        <v>812</v>
      </c>
      <c r="C42" s="208">
        <v>1000</v>
      </c>
      <c r="K42">
        <v>362000</v>
      </c>
    </row>
    <row r="43" spans="2:12" ht="18.600000000000001" thickBot="1">
      <c r="B43" s="156" t="s">
        <v>712</v>
      </c>
      <c r="C43" s="1">
        <f>C36-C37-C38-C39-C42-C40-C41</f>
        <v>532000</v>
      </c>
      <c r="K43">
        <v>33500</v>
      </c>
    </row>
    <row r="44" spans="2:12" ht="18.600000000000001" thickBot="1">
      <c r="K44">
        <v>6000</v>
      </c>
    </row>
    <row r="45" spans="2:12">
      <c r="C45" s="223" t="s">
        <v>730</v>
      </c>
      <c r="D45" s="224" t="s">
        <v>731</v>
      </c>
      <c r="E45" s="225" t="s">
        <v>732</v>
      </c>
      <c r="F45" s="212"/>
      <c r="K45">
        <v>12000</v>
      </c>
    </row>
    <row r="46" spans="2:12">
      <c r="B46" t="s">
        <v>728</v>
      </c>
      <c r="C46" s="1">
        <v>183500</v>
      </c>
      <c r="D46" s="1">
        <v>84000</v>
      </c>
      <c r="E46" s="1">
        <f>C46-D46</f>
        <v>99500</v>
      </c>
      <c r="H46" s="123"/>
      <c r="J46" t="s">
        <v>811</v>
      </c>
      <c r="K46">
        <v>2500</v>
      </c>
    </row>
    <row r="47" spans="2:12">
      <c r="B47" t="s">
        <v>419</v>
      </c>
      <c r="C47" s="1">
        <v>12000</v>
      </c>
      <c r="D47" s="1">
        <v>4000</v>
      </c>
      <c r="E47" s="1">
        <f>C47-D47</f>
        <v>8000</v>
      </c>
      <c r="K47">
        <v>500</v>
      </c>
      <c r="L47" t="s">
        <v>815</v>
      </c>
    </row>
    <row r="48" spans="2:12">
      <c r="B48" t="s">
        <v>47</v>
      </c>
      <c r="C48" s="226">
        <v>307000</v>
      </c>
      <c r="D48" s="1">
        <v>141000</v>
      </c>
      <c r="E48" s="1">
        <f>C48-D48</f>
        <v>166000</v>
      </c>
      <c r="G48" s="215"/>
      <c r="H48" s="123"/>
    </row>
    <row r="49" spans="2:11">
      <c r="B49" t="s">
        <v>729</v>
      </c>
      <c r="C49" s="226">
        <f>SUBTOTAL(109,Table145[میاشتنی کرایه])</f>
        <v>125000</v>
      </c>
      <c r="D49" s="226">
        <f>SUBTOTAL(109,Table145[د ۵۰ ٪ کرایی درکه])</f>
        <v>51750</v>
      </c>
      <c r="E49" s="1">
        <f>C49-D49</f>
        <v>73250</v>
      </c>
      <c r="G49" s="215"/>
      <c r="H49" s="123"/>
      <c r="K49">
        <f>SUM(K43:K48)</f>
        <v>54500</v>
      </c>
    </row>
    <row r="50" spans="2:11">
      <c r="B50" t="s">
        <v>702</v>
      </c>
      <c r="C50" s="1">
        <v>16000</v>
      </c>
      <c r="D50" s="1">
        <v>4250</v>
      </c>
      <c r="E50" s="1">
        <f>C50-D50</f>
        <v>11750</v>
      </c>
      <c r="H50" s="123"/>
    </row>
    <row r="51" spans="2:11">
      <c r="C51" s="188">
        <f>SUM(C46:C50)</f>
        <v>643500</v>
      </c>
      <c r="D51" s="189">
        <f>SUM(D46:D50)</f>
        <v>285000</v>
      </c>
      <c r="E51">
        <f>SUM(E46:E50)</f>
        <v>358500</v>
      </c>
      <c r="H51" s="123"/>
      <c r="K51">
        <f>K42-K49</f>
        <v>307500</v>
      </c>
    </row>
    <row r="52" spans="2:11">
      <c r="H52" s="123"/>
    </row>
    <row r="53" spans="2:11">
      <c r="B53" t="s">
        <v>817</v>
      </c>
      <c r="C53" s="189">
        <f>C51-D51</f>
        <v>358500</v>
      </c>
      <c r="H53" s="123"/>
    </row>
    <row r="54" spans="2:11">
      <c r="C54">
        <v>180000</v>
      </c>
      <c r="H54" s="123"/>
    </row>
    <row r="55" spans="2:11">
      <c r="C55" s="189">
        <f>C53+C54</f>
        <v>538500</v>
      </c>
      <c r="H55" s="123"/>
    </row>
    <row r="56" spans="2:11" ht="23.4">
      <c r="B56" s="237" t="s">
        <v>830</v>
      </c>
      <c r="H56" s="123"/>
    </row>
    <row r="57" spans="2:11">
      <c r="G57" s="123"/>
      <c r="H57" s="123"/>
    </row>
    <row r="58" spans="2:11">
      <c r="H58" s="123"/>
    </row>
    <row r="59" spans="2:11">
      <c r="H59" s="222"/>
    </row>
    <row r="60" spans="2:11">
      <c r="H60" s="222"/>
    </row>
    <row r="61" spans="2:11">
      <c r="H61" s="123"/>
    </row>
    <row r="64" spans="2:11">
      <c r="I64" s="189"/>
    </row>
  </sheetData>
  <pageMargins left="0.47" right="0.33" top="0.44" bottom="0.45" header="0.3" footer="0.3"/>
  <pageSetup scale="90" orientation="landscape" horizontalDpi="360" verticalDpi="360" r:id="rId1"/>
  <rowBreaks count="1" manualBreakCount="1">
    <brk id="2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Database</vt:lpstr>
      <vt:lpstr>ټپری T</vt:lpstr>
      <vt:lpstr>پارکینګP </vt:lpstr>
      <vt:lpstr>مغازې منزلD </vt:lpstr>
      <vt:lpstr>رحت منزلC </vt:lpstr>
      <vt:lpstr>بنجاره منزلB </vt:lpstr>
      <vt:lpstr>بوټ منزلA  </vt:lpstr>
      <vt:lpstr>Sheet1</vt:lpstr>
      <vt:lpstr>'بنجاره منزلB '!Print_Area</vt:lpstr>
      <vt:lpstr>'بوټ منزلA  '!Print_Area</vt:lpstr>
      <vt:lpstr>'پارکینګP '!Print_Area</vt:lpstr>
      <vt:lpstr>'ټپری T'!Print_Area</vt:lpstr>
      <vt:lpstr>'رحت منزلC '!Print_Area</vt:lpstr>
      <vt:lpstr>'مغازې منزلD '!Print_Area</vt:lpstr>
      <vt:lpstr>'بوټ منزلA  '!Print_Titles</vt:lpstr>
      <vt:lpstr>'رحت منزلC '!Print_Titles</vt:lpstr>
      <vt:lpstr>'مغازې منزلD 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OMAID COMPUTER</cp:lastModifiedBy>
  <cp:lastPrinted>2024-10-08T12:01:29Z</cp:lastPrinted>
  <dcterms:created xsi:type="dcterms:W3CDTF">2022-11-28T05:28:51Z</dcterms:created>
  <dcterms:modified xsi:type="dcterms:W3CDTF">2024-11-20T10:26:25Z</dcterms:modified>
</cp:coreProperties>
</file>