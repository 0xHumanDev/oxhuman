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ID COMPUTER\Desktop\"/>
    </mc:Choice>
  </mc:AlternateContent>
  <bookViews>
    <workbookView xWindow="0" yWindow="0" windowWidth="23040" windowHeight="10452" activeTab="1"/>
  </bookViews>
  <sheets>
    <sheet name="خمام مارکیت" sheetId="3" r:id="rId1"/>
    <sheet name="خوست پلازه" sheetId="1" r:id="rId2"/>
  </sheets>
  <definedNames>
    <definedName name="_xlnm.Print_Area" localSheetId="0">'خمام مارکیت'!$A$1:$D$1350</definedName>
    <definedName name="_xlnm.Print_Area" localSheetId="1">'خوست پلازه'!$A$1:$D$1350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0" i="1" l="1"/>
  <c r="A483" i="1" s="1"/>
  <c r="A466" i="1"/>
  <c r="A469" i="1" s="1"/>
  <c r="A453" i="1"/>
  <c r="A456" i="1" s="1"/>
  <c r="A439" i="1"/>
  <c r="A442" i="1" s="1"/>
  <c r="A426" i="1"/>
  <c r="A429" i="1" s="1"/>
  <c r="A412" i="1"/>
  <c r="E5" i="1"/>
  <c r="E3" i="1"/>
  <c r="A399" i="3"/>
  <c r="A402" i="3" s="1"/>
  <c r="A385" i="3"/>
  <c r="A388" i="3" s="1"/>
  <c r="A372" i="3"/>
  <c r="A375" i="3" s="1"/>
  <c r="A358" i="3"/>
  <c r="A361" i="3" s="1"/>
  <c r="A345" i="3"/>
  <c r="A348" i="3" s="1"/>
  <c r="A331" i="3"/>
  <c r="A334" i="3" s="1"/>
  <c r="A318" i="3"/>
  <c r="A321" i="3" s="1"/>
  <c r="A304" i="3"/>
  <c r="A307" i="3" s="1"/>
  <c r="A291" i="3"/>
  <c r="A294" i="3" s="1"/>
  <c r="A277" i="3"/>
  <c r="A280" i="3" s="1"/>
  <c r="A264" i="3"/>
  <c r="A267" i="3" s="1"/>
  <c r="A250" i="3"/>
  <c r="A253" i="3" s="1"/>
  <c r="A237" i="3"/>
  <c r="A240" i="3" s="1"/>
  <c r="A223" i="3"/>
  <c r="A226" i="3" s="1"/>
  <c r="A210" i="3"/>
  <c r="A213" i="3" s="1"/>
  <c r="A196" i="3"/>
  <c r="A199" i="3" s="1"/>
  <c r="A183" i="3"/>
  <c r="A186" i="3" s="1"/>
  <c r="A169" i="3"/>
  <c r="A172" i="3" s="1"/>
  <c r="A156" i="3"/>
  <c r="A159" i="3" s="1"/>
  <c r="A142" i="3"/>
  <c r="A145" i="3" s="1"/>
  <c r="A129" i="3"/>
  <c r="A132" i="3" s="1"/>
  <c r="A115" i="3"/>
  <c r="A118" i="3" s="1"/>
  <c r="A102" i="3"/>
  <c r="A105" i="3" s="1"/>
  <c r="A88" i="3"/>
  <c r="A91" i="3" s="1"/>
  <c r="A75" i="3"/>
  <c r="A78" i="3" s="1"/>
  <c r="A61" i="3"/>
  <c r="A64" i="3" s="1"/>
  <c r="A48" i="3"/>
  <c r="A51" i="3" s="1"/>
  <c r="A34" i="3"/>
  <c r="A37" i="3" s="1"/>
  <c r="E3" i="3" s="1"/>
  <c r="E5" i="3" s="1"/>
  <c r="A21" i="3"/>
  <c r="A24" i="3" s="1"/>
  <c r="A10" i="3"/>
  <c r="A7" i="3"/>
  <c r="L3" i="3"/>
  <c r="A399" i="1"/>
  <c r="A402" i="1" s="1"/>
  <c r="A385" i="1"/>
  <c r="A388" i="1" s="1"/>
  <c r="A372" i="1"/>
  <c r="A375" i="1" s="1"/>
  <c r="A358" i="1"/>
  <c r="A361" i="1" s="1"/>
  <c r="A345" i="1"/>
  <c r="A348" i="1" s="1"/>
  <c r="A331" i="1"/>
  <c r="A334" i="1" s="1"/>
  <c r="A318" i="1"/>
  <c r="A321" i="1" s="1"/>
  <c r="A304" i="1"/>
  <c r="A307" i="1" s="1"/>
  <c r="A291" i="1"/>
  <c r="A294" i="1" s="1"/>
  <c r="A277" i="1"/>
  <c r="A280" i="1" s="1"/>
  <c r="A264" i="1"/>
  <c r="A267" i="1" s="1"/>
  <c r="A250" i="1"/>
  <c r="A253" i="1" s="1"/>
  <c r="A237" i="1"/>
  <c r="A240" i="1" s="1"/>
  <c r="A223" i="1"/>
  <c r="A226" i="1" s="1"/>
  <c r="A210" i="1"/>
  <c r="A213" i="1" s="1"/>
  <c r="A196" i="1"/>
  <c r="A199" i="1" s="1"/>
  <c r="A183" i="1"/>
  <c r="A186" i="1" s="1"/>
  <c r="A169" i="1"/>
  <c r="A172" i="1" s="1"/>
  <c r="A156" i="1"/>
  <c r="A159" i="1" s="1"/>
  <c r="A142" i="1"/>
  <c r="A145" i="1" s="1"/>
  <c r="A129" i="1"/>
  <c r="A132" i="1" s="1"/>
  <c r="A115" i="1"/>
  <c r="A118" i="1" s="1"/>
  <c r="A102" i="1"/>
  <c r="A105" i="1" s="1"/>
  <c r="A88" i="1"/>
  <c r="A91" i="1" s="1"/>
  <c r="A75" i="1"/>
  <c r="A78" i="1" s="1"/>
  <c r="A61" i="1"/>
  <c r="A64" i="1" s="1"/>
  <c r="A48" i="1"/>
  <c r="A51" i="1" s="1"/>
  <c r="A34" i="1"/>
  <c r="A37" i="1" s="1"/>
  <c r="A21" i="1"/>
  <c r="A24" i="1" s="1"/>
  <c r="A7" i="1"/>
  <c r="A10" i="1" s="1"/>
  <c r="L3" i="1"/>
  <c r="E10" i="1" l="1"/>
  <c r="A415" i="1"/>
  <c r="E10" i="3"/>
</calcChain>
</file>

<file path=xl/sharedStrings.xml><?xml version="1.0" encoding="utf-8"?>
<sst xmlns="http://schemas.openxmlformats.org/spreadsheetml/2006/main" count="1190" uniqueCount="19">
  <si>
    <t>تاریخ:</t>
  </si>
  <si>
    <t>دوکان نمبر:</t>
  </si>
  <si>
    <t>میاشت:</t>
  </si>
  <si>
    <t>دمیتر پخوانی درجه:</t>
  </si>
  <si>
    <t>د میتر اوسنی درجه:</t>
  </si>
  <si>
    <t>مصرف:</t>
  </si>
  <si>
    <t>کیلوواټ قیمت:</t>
  </si>
  <si>
    <t xml:space="preserve"> پخوانی بقایا:</t>
  </si>
  <si>
    <t>افغانی جمله:</t>
  </si>
  <si>
    <t xml:space="preserve"> د بریښنا نه کارولو په صورت کې به ستاسو څخه (3000) افغانی اخېستل کیږي </t>
  </si>
  <si>
    <t>که د بریښنا بیل د یادې میاشتې څخه تر (4) ورځو پورې چې  د بېل پیسې اصول نه شي برق به پرې قطع کیږي</t>
  </si>
  <si>
    <t>یادونه: که بریښنا کوم تلافات ولري د بریښنا شبکې مسؤلین کومه زیماوري په غاړه نه  لري</t>
  </si>
  <si>
    <t>حق الزخمه</t>
  </si>
  <si>
    <t>ځلاند شخصي جنراتوري بریښنا(نیازي مارکیټ)</t>
  </si>
  <si>
    <t xml:space="preserve">هلال منشی :  0776680201  </t>
  </si>
  <si>
    <t>هلال منشی: 0772358535</t>
  </si>
  <si>
    <t>عبدالرحمن</t>
  </si>
  <si>
    <t>30/01/2023</t>
  </si>
  <si>
    <t xml:space="preserve">جنوری ( Jan)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</si>
</sst>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C00000"/>
      <name val="Times New Roman"/>
      <family val="1"/>
    </font>
    <font>
      <sz val="22"/>
      <color theme="1"/>
      <name val="Times New Roman"/>
      <family val="1"/>
    </font>
    <font>
      <sz val="22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26"/>
      <color rgb="FFFF0000"/>
      <name val="Times New Roman"/>
      <family val="1"/>
    </font>
    <font>
      <b/>
      <sz val="26"/>
      <color rgb="FF7030A0"/>
      <name val="Times New Roman"/>
      <family val="1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26"/>
      <color theme="4" tint="-0.249977111117893"/>
      <name val="Times New Roman"/>
      <family val="1"/>
    </font>
    <font>
      <b/>
      <sz val="26"/>
      <color theme="8" tint="-0.24997711111789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 vertical="center" shrinkToFit="1"/>
    </xf>
    <xf numFmtId="0" fontId="4" fillId="2" borderId="0" xfId="0" applyFont="1" applyFill="1"/>
    <xf numFmtId="0" fontId="4" fillId="0" borderId="0" xfId="0" applyFont="1"/>
    <xf numFmtId="0" fontId="4" fillId="2" borderId="4" xfId="0" applyFont="1" applyFill="1" applyBorder="1"/>
    <xf numFmtId="0" fontId="4" fillId="2" borderId="0" xfId="0" applyFont="1" applyFill="1" applyBorder="1"/>
    <xf numFmtId="0" fontId="4" fillId="2" borderId="5" xfId="0" applyFont="1" applyFill="1" applyBorder="1"/>
    <xf numFmtId="0" fontId="5" fillId="0" borderId="6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center" shrinkToFit="1"/>
    </xf>
    <xf numFmtId="14" fontId="6" fillId="0" borderId="6" xfId="0" applyNumberFormat="1" applyFont="1" applyFill="1" applyBorder="1" applyAlignment="1">
      <alignment shrinkToFit="1"/>
    </xf>
    <xf numFmtId="0" fontId="5" fillId="0" borderId="9" xfId="0" applyFont="1" applyFill="1" applyBorder="1" applyAlignment="1">
      <alignment shrinkToFit="1"/>
    </xf>
    <xf numFmtId="0" fontId="7" fillId="0" borderId="6" xfId="0" applyFont="1" applyFill="1" applyBorder="1" applyAlignment="1">
      <alignment horizontal="right" shrinkToFit="1"/>
    </xf>
    <xf numFmtId="0" fontId="7" fillId="0" borderId="7" xfId="0" applyFont="1" applyFill="1" applyBorder="1" applyAlignment="1">
      <alignment horizontal="right" shrinkToFit="1"/>
    </xf>
    <xf numFmtId="164" fontId="4" fillId="0" borderId="0" xfId="1" applyNumberFormat="1" applyFont="1" applyBorder="1"/>
    <xf numFmtId="0" fontId="4" fillId="2" borderId="0" xfId="0" applyFont="1" applyFill="1" applyAlignment="1">
      <alignment horizontal="center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shrinkToFit="1"/>
    </xf>
    <xf numFmtId="43" fontId="3" fillId="2" borderId="0" xfId="1" applyFont="1" applyFill="1" applyBorder="1" applyAlignment="1">
      <alignment shrinkToFit="1"/>
    </xf>
    <xf numFmtId="0" fontId="5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right" vertical="center" shrinkToFit="1"/>
    </xf>
    <xf numFmtId="0" fontId="5" fillId="0" borderId="7" xfId="0" applyFont="1" applyFill="1" applyBorder="1" applyAlignment="1">
      <alignment horizontal="right" vertical="center" shrinkToFit="1"/>
    </xf>
    <xf numFmtId="43" fontId="3" fillId="2" borderId="0" xfId="0" applyNumberFormat="1" applyFont="1" applyFill="1" applyBorder="1" applyAlignment="1">
      <alignment shrinkToFit="1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5" fillId="0" borderId="6" xfId="0" applyFont="1" applyFill="1" applyBorder="1" applyAlignment="1">
      <alignment horizontal="right" shrinkToFit="1"/>
    </xf>
    <xf numFmtId="0" fontId="5" fillId="0" borderId="7" xfId="0" applyFont="1" applyFill="1" applyBorder="1" applyAlignment="1">
      <alignment horizontal="right" shrinkToFit="1"/>
    </xf>
    <xf numFmtId="0" fontId="3" fillId="2" borderId="0" xfId="0" applyFont="1" applyFill="1" applyBorder="1" applyAlignment="1">
      <alignment shrinkToFit="1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right" shrinkToFit="1"/>
    </xf>
    <xf numFmtId="0" fontId="3" fillId="2" borderId="0" xfId="0" applyFont="1" applyFill="1" applyAlignment="1">
      <alignment shrinkToFit="1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shrinkToFit="1"/>
    </xf>
    <xf numFmtId="0" fontId="5" fillId="0" borderId="7" xfId="0" applyFont="1" applyFill="1" applyBorder="1" applyAlignment="1">
      <alignment horizontal="center" shrinkToFi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 shrinkToFit="1"/>
    </xf>
    <xf numFmtId="0" fontId="10" fillId="3" borderId="7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wrapText="1" shrinkToFit="1"/>
    </xf>
    <xf numFmtId="0" fontId="11" fillId="4" borderId="2" xfId="0" applyFont="1" applyFill="1" applyBorder="1" applyAlignment="1">
      <alignment horizontal="center" vertical="center" wrapText="1" shrinkToFit="1"/>
    </xf>
    <xf numFmtId="0" fontId="11" fillId="4" borderId="3" xfId="0" applyFont="1" applyFill="1" applyBorder="1" applyAlignment="1">
      <alignment horizontal="center" vertical="center" wrapText="1" shrinkToFit="1"/>
    </xf>
    <xf numFmtId="0" fontId="12" fillId="5" borderId="6" xfId="0" applyFont="1" applyFill="1" applyBorder="1" applyAlignment="1">
      <alignment horizontal="center" vertical="center" wrapText="1" shrinkToFit="1"/>
    </xf>
    <xf numFmtId="0" fontId="12" fillId="5" borderId="8" xfId="0" applyFont="1" applyFill="1" applyBorder="1" applyAlignment="1">
      <alignment horizontal="center" vertical="center" wrapText="1" shrinkToFit="1"/>
    </xf>
    <xf numFmtId="0" fontId="12" fillId="5" borderId="7" xfId="0" applyFont="1" applyFill="1" applyBorder="1" applyAlignment="1">
      <alignment horizontal="center" vertical="center" wrapText="1" shrinkToFit="1"/>
    </xf>
    <xf numFmtId="0" fontId="13" fillId="0" borderId="11" xfId="0" applyFont="1" applyFill="1" applyBorder="1" applyAlignment="1">
      <alignment horizontal="center" shrinkToFit="1"/>
    </xf>
    <xf numFmtId="0" fontId="3" fillId="2" borderId="0" xfId="0" applyFont="1" applyFill="1" applyAlignment="1">
      <alignment horizontal="center" shrinkToFit="1"/>
    </xf>
    <xf numFmtId="0" fontId="3" fillId="2" borderId="13" xfId="0" applyFont="1" applyFill="1" applyBorder="1" applyAlignment="1">
      <alignment shrinkToFit="1"/>
    </xf>
    <xf numFmtId="0" fontId="11" fillId="4" borderId="6" xfId="0" applyFont="1" applyFill="1" applyBorder="1" applyAlignment="1">
      <alignment horizontal="center" vertical="center" wrapText="1" shrinkToFit="1"/>
    </xf>
    <xf numFmtId="0" fontId="11" fillId="4" borderId="8" xfId="0" applyFont="1" applyFill="1" applyBorder="1" applyAlignment="1">
      <alignment horizontal="center" vertical="center" wrapText="1" shrinkToFit="1"/>
    </xf>
    <xf numFmtId="0" fontId="11" fillId="4" borderId="7" xfId="0" applyFont="1" applyFill="1" applyBorder="1" applyAlignment="1">
      <alignment horizontal="center" vertical="center" wrapText="1" shrinkToFit="1"/>
    </xf>
    <xf numFmtId="0" fontId="9" fillId="0" borderId="4" xfId="0" applyFont="1" applyFill="1" applyBorder="1"/>
    <xf numFmtId="0" fontId="9" fillId="0" borderId="0" xfId="0" applyFont="1" applyFill="1" applyBorder="1"/>
    <xf numFmtId="0" fontId="9" fillId="0" borderId="5" xfId="0" applyFont="1" applyFill="1" applyBorder="1"/>
    <xf numFmtId="0" fontId="13" fillId="3" borderId="6" xfId="0" applyFont="1" applyFill="1" applyBorder="1" applyAlignment="1">
      <alignment horizontal="center" vertical="center" shrinkToFit="1"/>
    </xf>
    <xf numFmtId="0" fontId="13" fillId="3" borderId="8" xfId="0" applyFont="1" applyFill="1" applyBorder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 shrinkToFit="1"/>
    </xf>
    <xf numFmtId="0" fontId="11" fillId="6" borderId="1" xfId="0" applyFont="1" applyFill="1" applyBorder="1" applyAlignment="1">
      <alignment horizontal="center" vertical="center" wrapText="1" shrinkToFit="1"/>
    </xf>
    <xf numFmtId="0" fontId="11" fillId="6" borderId="2" xfId="0" applyFont="1" applyFill="1" applyBorder="1" applyAlignment="1">
      <alignment horizontal="center" vertical="center" wrapText="1" shrinkToFit="1"/>
    </xf>
    <xf numFmtId="0" fontId="11" fillId="6" borderId="3" xfId="0" applyFont="1" applyFill="1" applyBorder="1" applyAlignment="1">
      <alignment horizontal="center" vertical="center" wrapText="1" shrinkToFit="1"/>
    </xf>
    <xf numFmtId="0" fontId="12" fillId="7" borderId="6" xfId="0" applyFont="1" applyFill="1" applyBorder="1" applyAlignment="1">
      <alignment horizontal="center" vertical="center" wrapText="1" shrinkToFit="1"/>
    </xf>
    <xf numFmtId="0" fontId="12" fillId="7" borderId="8" xfId="0" applyFont="1" applyFill="1" applyBorder="1" applyAlignment="1">
      <alignment horizontal="center" vertical="center" wrapText="1" shrinkToFit="1"/>
    </xf>
    <xf numFmtId="0" fontId="12" fillId="7" borderId="7" xfId="0" applyFont="1" applyFill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 shrinkToFit="1"/>
    </xf>
    <xf numFmtId="0" fontId="14" fillId="0" borderId="2" xfId="0" applyFont="1" applyFill="1" applyBorder="1" applyAlignment="1">
      <alignment horizontal="center" vertical="center" shrinkToFit="1"/>
    </xf>
    <xf numFmtId="0" fontId="14" fillId="0" borderId="3" xfId="0" applyFont="1" applyFill="1" applyBorder="1" applyAlignment="1">
      <alignment horizontal="center" vertical="center" shrinkToFit="1"/>
    </xf>
    <xf numFmtId="14" fontId="15" fillId="0" borderId="6" xfId="0" applyNumberFormat="1" applyFont="1" applyFill="1" applyBorder="1" applyAlignment="1">
      <alignment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0"/>
  <sheetViews>
    <sheetView showRuler="0" view="pageLayout" topLeftCell="A379" zoomScale="60" zoomScaleNormal="70" zoomScalePageLayoutView="60" workbookViewId="0">
      <selection activeCell="A384" sqref="A384:B384"/>
    </sheetView>
  </sheetViews>
  <sheetFormatPr defaultColWidth="10.6640625" defaultRowHeight="42.75" customHeight="1" x14ac:dyDescent="0.55000000000000004"/>
  <cols>
    <col min="1" max="1" width="14.6640625" style="59" customWidth="1"/>
    <col min="2" max="2" width="16.33203125" style="60" customWidth="1"/>
    <col min="3" max="3" width="20.88671875" style="60" customWidth="1"/>
    <col min="4" max="4" width="19" style="61" customWidth="1"/>
    <col min="5" max="5" width="24.88671875" style="5" customWidth="1"/>
    <col min="6" max="6" width="25.33203125" style="5" customWidth="1"/>
    <col min="7" max="7" width="12" style="5" customWidth="1"/>
    <col min="8" max="8" width="13.33203125" style="5" customWidth="1"/>
    <col min="9" max="9" width="31.33203125" style="5" customWidth="1"/>
    <col min="10" max="10" width="13.5546875" style="6" customWidth="1"/>
    <col min="11" max="11" width="14" style="6" customWidth="1"/>
    <col min="12" max="12" width="22.6640625" style="6" customWidth="1"/>
    <col min="13" max="16384" width="10.6640625" style="6"/>
  </cols>
  <sheetData>
    <row r="1" spans="1:16" ht="42.75" customHeight="1" thickBot="1" x14ac:dyDescent="0.6">
      <c r="A1" s="71" t="s">
        <v>13</v>
      </c>
      <c r="B1" s="72"/>
      <c r="C1" s="72"/>
      <c r="D1" s="73"/>
      <c r="E1" s="4"/>
      <c r="K1" s="7"/>
      <c r="L1" s="8"/>
      <c r="M1" s="8"/>
      <c r="N1" s="8"/>
      <c r="O1" s="8"/>
      <c r="P1" s="9"/>
    </row>
    <row r="2" spans="1:16" ht="42.75" customHeight="1" thickBot="1" x14ac:dyDescent="0.6">
      <c r="A2" s="10" t="s">
        <v>15</v>
      </c>
      <c r="B2" s="11"/>
      <c r="C2" s="12" t="s">
        <v>14</v>
      </c>
      <c r="D2" s="11"/>
      <c r="E2" s="13"/>
      <c r="K2" s="7"/>
      <c r="L2" s="8"/>
      <c r="M2" s="8"/>
      <c r="N2" s="8"/>
      <c r="O2" s="8"/>
      <c r="P2" s="9"/>
    </row>
    <row r="3" spans="1:16" ht="42.75" customHeight="1" thickBot="1" x14ac:dyDescent="0.6">
      <c r="A3" s="74" t="s">
        <v>17</v>
      </c>
      <c r="B3" s="15" t="s">
        <v>0</v>
      </c>
      <c r="C3" s="16" t="s">
        <v>16</v>
      </c>
      <c r="D3" s="17"/>
      <c r="E3" s="18">
        <f>SUM(A10+A37+A64+A91+A118+A145+A172+A199+A226+A253+A280+A307+A334+A361+A388+A415+A442+A469+A496+A523+A550+A577+A604+A631+A658+A685+A712+A739+A766+A793+A820+A847+A874+A901+A928+A955+A982+A1009+A1036+A1063+A1090+A1117+A1144+A1171+A1198+A1225+A1252+A1279+A1306+A1333)</f>
        <v>45000</v>
      </c>
      <c r="F3" s="19"/>
      <c r="G3" s="19"/>
      <c r="H3" s="19"/>
      <c r="K3" s="7"/>
      <c r="L3" s="8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8"/>
      <c r="N3" s="8"/>
      <c r="O3" s="8"/>
      <c r="P3" s="9"/>
    </row>
    <row r="4" spans="1:16" ht="42.75" customHeight="1" thickBot="1" x14ac:dyDescent="0.6">
      <c r="A4" s="15"/>
      <c r="B4" s="15" t="s">
        <v>1</v>
      </c>
      <c r="C4" s="20" t="s">
        <v>18</v>
      </c>
      <c r="D4" s="21" t="s">
        <v>2</v>
      </c>
      <c r="E4" s="22">
        <v>20000</v>
      </c>
      <c r="K4" s="7"/>
      <c r="L4" s="8"/>
      <c r="M4" s="8"/>
      <c r="N4" s="8"/>
      <c r="O4" s="8"/>
      <c r="P4" s="9"/>
    </row>
    <row r="5" spans="1:16" ht="42.75" customHeight="1" thickBot="1" x14ac:dyDescent="0.6">
      <c r="A5" s="23">
        <v>1050</v>
      </c>
      <c r="B5" s="24"/>
      <c r="C5" s="25" t="s">
        <v>3</v>
      </c>
      <c r="D5" s="26"/>
      <c r="E5" s="27">
        <f>E3-E4</f>
        <v>25000</v>
      </c>
      <c r="K5" s="28"/>
      <c r="L5" s="29"/>
      <c r="M5" s="29"/>
      <c r="N5" s="29"/>
      <c r="O5" s="29"/>
      <c r="P5" s="30"/>
    </row>
    <row r="6" spans="1:16" ht="42.75" customHeight="1" thickBot="1" x14ac:dyDescent="0.6">
      <c r="A6" s="23">
        <v>1100</v>
      </c>
      <c r="B6" s="24"/>
      <c r="C6" s="31" t="s">
        <v>4</v>
      </c>
      <c r="D6" s="32"/>
      <c r="E6" s="33"/>
    </row>
    <row r="7" spans="1:16" ht="42.75" customHeight="1" thickBot="1" x14ac:dyDescent="0.7">
      <c r="A7" s="34">
        <f>A6-A5</f>
        <v>50</v>
      </c>
      <c r="B7" s="35"/>
      <c r="C7" s="36" t="s">
        <v>5</v>
      </c>
      <c r="D7" s="32"/>
      <c r="E7" s="37"/>
    </row>
    <row r="8" spans="1:16" ht="42.75" customHeight="1" thickBot="1" x14ac:dyDescent="0.6">
      <c r="A8" s="38">
        <v>60</v>
      </c>
      <c r="B8" s="39"/>
      <c r="C8" s="31" t="s">
        <v>6</v>
      </c>
      <c r="D8" s="32"/>
      <c r="E8" s="37"/>
    </row>
    <row r="9" spans="1:16" ht="42.75" customHeight="1" thickBot="1" x14ac:dyDescent="0.6">
      <c r="A9" s="40"/>
      <c r="B9" s="41"/>
      <c r="C9" s="31" t="s">
        <v>7</v>
      </c>
      <c r="D9" s="32"/>
      <c r="E9" s="37"/>
    </row>
    <row r="10" spans="1:16" ht="42.75" customHeight="1" thickBot="1" x14ac:dyDescent="0.6">
      <c r="A10" s="42">
        <f>A8*A7</f>
        <v>3000</v>
      </c>
      <c r="B10" s="43"/>
      <c r="C10" s="31" t="s">
        <v>8</v>
      </c>
      <c r="D10" s="32"/>
      <c r="E10" s="37">
        <f>SUM(A7+A61+A88+A115+A142+A169+A196+A223+A250+A277+A304+A331+A358+A385+A412+A439+A466+A493+A520+A547+A574+A601+A628+A655+A682+A709+A736+A763+A790+A817+A844+A871+A898+A925+A952+A979+A1006+A1033+A1060+A1087+A1114+A1141+A1168+A1195+A1222+A1249)</f>
        <v>700</v>
      </c>
    </row>
    <row r="11" spans="1:16" ht="42.75" customHeight="1" thickBot="1" x14ac:dyDescent="0.6">
      <c r="A11" s="62" t="s">
        <v>9</v>
      </c>
      <c r="B11" s="63"/>
      <c r="C11" s="63"/>
      <c r="D11" s="64"/>
      <c r="E11" s="37"/>
    </row>
    <row r="12" spans="1:16" ht="42.75" customHeight="1" thickBot="1" x14ac:dyDescent="0.6">
      <c r="A12" s="65" t="s">
        <v>10</v>
      </c>
      <c r="B12" s="66"/>
      <c r="C12" s="66"/>
      <c r="D12" s="67"/>
      <c r="E12" s="37"/>
    </row>
    <row r="13" spans="1:16" ht="42.75" customHeight="1" thickBot="1" x14ac:dyDescent="0.6">
      <c r="A13" s="68" t="s">
        <v>11</v>
      </c>
      <c r="B13" s="69"/>
      <c r="C13" s="69"/>
      <c r="D13" s="70"/>
      <c r="E13" s="37"/>
    </row>
    <row r="14" spans="1:16" ht="42.75" customHeight="1" thickBot="1" x14ac:dyDescent="0.6">
      <c r="A14" s="53"/>
      <c r="B14" s="53"/>
      <c r="C14" s="53"/>
      <c r="D14" s="53"/>
      <c r="E14" s="37"/>
    </row>
    <row r="15" spans="1:16" ht="42.75" customHeight="1" thickBot="1" x14ac:dyDescent="0.6">
      <c r="A15" s="71" t="s">
        <v>13</v>
      </c>
      <c r="B15" s="72"/>
      <c r="C15" s="72"/>
      <c r="D15" s="73"/>
      <c r="E15" s="37"/>
    </row>
    <row r="16" spans="1:16" s="5" customFormat="1" ht="42.75" customHeight="1" thickBot="1" x14ac:dyDescent="0.6">
      <c r="A16" s="10" t="s">
        <v>15</v>
      </c>
      <c r="B16" s="11"/>
      <c r="C16" s="12" t="s">
        <v>14</v>
      </c>
      <c r="D16" s="11"/>
      <c r="E16" s="4"/>
      <c r="J16" s="6"/>
      <c r="K16" s="6"/>
      <c r="L16" s="6"/>
      <c r="M16" s="6"/>
      <c r="N16" s="6"/>
      <c r="O16" s="6"/>
      <c r="P16" s="6"/>
    </row>
    <row r="17" spans="1:16" s="5" customFormat="1" ht="42.75" customHeight="1" thickBot="1" x14ac:dyDescent="0.6">
      <c r="A17" s="74" t="s">
        <v>17</v>
      </c>
      <c r="B17" s="15" t="s">
        <v>0</v>
      </c>
      <c r="C17" s="16" t="s">
        <v>16</v>
      </c>
      <c r="D17" s="17"/>
      <c r="E17" s="4"/>
      <c r="J17" s="6"/>
      <c r="K17" s="6"/>
      <c r="L17" s="6"/>
      <c r="M17" s="6"/>
      <c r="N17" s="6"/>
      <c r="O17" s="6"/>
      <c r="P17" s="6"/>
    </row>
    <row r="18" spans="1:16" s="5" customFormat="1" ht="42.75" customHeight="1" thickBot="1" x14ac:dyDescent="0.6">
      <c r="A18" s="15"/>
      <c r="B18" s="15" t="s">
        <v>1</v>
      </c>
      <c r="C18" s="20" t="s">
        <v>18</v>
      </c>
      <c r="D18" s="21" t="s">
        <v>2</v>
      </c>
      <c r="E18" s="54"/>
      <c r="J18" s="6"/>
      <c r="K18" s="6"/>
      <c r="L18" s="6"/>
      <c r="M18" s="6"/>
      <c r="N18" s="6"/>
      <c r="O18" s="6"/>
      <c r="P18" s="6"/>
    </row>
    <row r="19" spans="1:16" s="5" customFormat="1" ht="42.75" customHeight="1" thickBot="1" x14ac:dyDescent="0.6">
      <c r="A19" s="23">
        <v>1050</v>
      </c>
      <c r="B19" s="24"/>
      <c r="C19" s="25" t="s">
        <v>3</v>
      </c>
      <c r="D19" s="26"/>
      <c r="E19" s="54"/>
      <c r="J19" s="6"/>
      <c r="K19" s="6"/>
      <c r="L19" s="6"/>
      <c r="M19" s="6"/>
      <c r="N19" s="6"/>
      <c r="O19" s="6"/>
      <c r="P19" s="6"/>
    </row>
    <row r="20" spans="1:16" s="5" customFormat="1" ht="42.75" customHeight="1" thickBot="1" x14ac:dyDescent="0.6">
      <c r="A20" s="23">
        <v>1100</v>
      </c>
      <c r="B20" s="24"/>
      <c r="C20" s="31" t="s">
        <v>4</v>
      </c>
      <c r="D20" s="32"/>
      <c r="E20" s="55"/>
      <c r="J20" s="6"/>
      <c r="K20" s="6"/>
      <c r="L20" s="6"/>
      <c r="M20" s="6"/>
      <c r="N20" s="6"/>
      <c r="O20" s="6"/>
      <c r="P20" s="6"/>
    </row>
    <row r="21" spans="1:16" s="5" customFormat="1" ht="42.75" customHeight="1" thickBot="1" x14ac:dyDescent="0.7">
      <c r="A21" s="34">
        <f>A20-A19</f>
        <v>50</v>
      </c>
      <c r="B21" s="35"/>
      <c r="C21" s="36" t="s">
        <v>5</v>
      </c>
      <c r="D21" s="32"/>
      <c r="E21" s="37"/>
      <c r="J21" s="6"/>
      <c r="K21" s="6"/>
      <c r="L21" s="6"/>
      <c r="M21" s="6"/>
      <c r="N21" s="6"/>
      <c r="O21" s="6"/>
      <c r="P21" s="6"/>
    </row>
    <row r="22" spans="1:16" s="5" customFormat="1" ht="42.75" customHeight="1" thickBot="1" x14ac:dyDescent="0.6">
      <c r="A22" s="38">
        <v>60</v>
      </c>
      <c r="B22" s="39"/>
      <c r="C22" s="31" t="s">
        <v>6</v>
      </c>
      <c r="D22" s="32"/>
      <c r="E22" s="37"/>
      <c r="J22" s="6"/>
      <c r="K22" s="6"/>
      <c r="L22" s="6"/>
      <c r="M22" s="6"/>
      <c r="N22" s="6"/>
      <c r="O22" s="6"/>
      <c r="P22" s="6"/>
    </row>
    <row r="23" spans="1:16" s="5" customFormat="1" ht="42.75" customHeight="1" thickBot="1" x14ac:dyDescent="0.6">
      <c r="A23" s="40"/>
      <c r="B23" s="41"/>
      <c r="C23" s="31" t="s">
        <v>7</v>
      </c>
      <c r="D23" s="32"/>
      <c r="E23" s="37"/>
      <c r="J23" s="6"/>
      <c r="K23" s="6"/>
      <c r="L23" s="6"/>
      <c r="M23" s="6"/>
      <c r="N23" s="6"/>
      <c r="O23" s="6"/>
      <c r="P23" s="6"/>
    </row>
    <row r="24" spans="1:16" s="5" customFormat="1" ht="42.75" customHeight="1" thickBot="1" x14ac:dyDescent="0.6">
      <c r="A24" s="42">
        <f>A22*A21</f>
        <v>3000</v>
      </c>
      <c r="B24" s="43"/>
      <c r="C24" s="31" t="s">
        <v>8</v>
      </c>
      <c r="D24" s="32"/>
      <c r="E24" s="37"/>
      <c r="J24" s="6"/>
      <c r="K24" s="6"/>
      <c r="L24" s="6"/>
      <c r="M24" s="6"/>
      <c r="N24" s="6"/>
      <c r="O24" s="6"/>
      <c r="P24" s="6"/>
    </row>
    <row r="25" spans="1:16" s="5" customFormat="1" ht="42.75" customHeight="1" thickBot="1" x14ac:dyDescent="0.6">
      <c r="A25" s="62" t="s">
        <v>9</v>
      </c>
      <c r="B25" s="63"/>
      <c r="C25" s="63"/>
      <c r="D25" s="64"/>
      <c r="E25" s="37"/>
      <c r="J25" s="6"/>
      <c r="K25" s="6"/>
      <c r="L25" s="6"/>
      <c r="M25" s="6"/>
      <c r="N25" s="6"/>
      <c r="O25" s="6"/>
      <c r="P25" s="6"/>
    </row>
    <row r="26" spans="1:16" s="5" customFormat="1" ht="42.75" customHeight="1" thickBot="1" x14ac:dyDescent="0.6">
      <c r="A26" s="65" t="s">
        <v>10</v>
      </c>
      <c r="B26" s="66"/>
      <c r="C26" s="66"/>
      <c r="D26" s="67"/>
      <c r="E26" s="37"/>
      <c r="J26" s="6"/>
      <c r="K26" s="6"/>
      <c r="L26" s="6"/>
      <c r="M26" s="6"/>
      <c r="N26" s="6"/>
      <c r="O26" s="6"/>
      <c r="P26" s="6"/>
    </row>
    <row r="27" spans="1:16" s="5" customFormat="1" ht="42.75" customHeight="1" thickBot="1" x14ac:dyDescent="0.6">
      <c r="A27" s="68" t="s">
        <v>11</v>
      </c>
      <c r="B27" s="69"/>
      <c r="C27" s="69"/>
      <c r="D27" s="70"/>
      <c r="E27" s="37" t="s">
        <v>12</v>
      </c>
      <c r="J27" s="6"/>
      <c r="K27" s="6"/>
      <c r="L27" s="6"/>
      <c r="M27" s="6"/>
      <c r="N27" s="6"/>
      <c r="O27" s="6"/>
      <c r="P27" s="6"/>
    </row>
    <row r="28" spans="1:16" s="5" customFormat="1" ht="42.75" customHeight="1" thickBot="1" x14ac:dyDescent="0.6">
      <c r="A28" s="71" t="s">
        <v>13</v>
      </c>
      <c r="B28" s="72"/>
      <c r="C28" s="72"/>
      <c r="D28" s="73"/>
      <c r="E28" s="37"/>
      <c r="J28" s="6"/>
      <c r="K28" s="6"/>
      <c r="L28" s="6"/>
      <c r="M28" s="6"/>
      <c r="N28" s="6"/>
      <c r="O28" s="6"/>
      <c r="P28" s="6"/>
    </row>
    <row r="29" spans="1:16" s="5" customFormat="1" ht="42.75" customHeight="1" thickBot="1" x14ac:dyDescent="0.6">
      <c r="A29" s="10" t="s">
        <v>15</v>
      </c>
      <c r="B29" s="11"/>
      <c r="C29" s="12" t="s">
        <v>14</v>
      </c>
      <c r="D29" s="11"/>
      <c r="E29" s="37"/>
      <c r="J29" s="6"/>
      <c r="K29" s="6"/>
      <c r="L29" s="6"/>
      <c r="M29" s="6"/>
      <c r="N29" s="6"/>
      <c r="O29" s="6"/>
      <c r="P29" s="6"/>
    </row>
    <row r="30" spans="1:16" s="5" customFormat="1" ht="42.75" customHeight="1" thickBot="1" x14ac:dyDescent="0.6">
      <c r="A30" s="74" t="s">
        <v>17</v>
      </c>
      <c r="B30" s="15" t="s">
        <v>0</v>
      </c>
      <c r="C30" s="16" t="s">
        <v>16</v>
      </c>
      <c r="D30" s="17"/>
      <c r="E30" s="4"/>
      <c r="J30" s="6"/>
      <c r="K30" s="6"/>
      <c r="L30" s="6"/>
      <c r="M30" s="6"/>
      <c r="N30" s="6"/>
      <c r="O30" s="6"/>
      <c r="P30" s="6"/>
    </row>
    <row r="31" spans="1:16" s="5" customFormat="1" ht="42.75" customHeight="1" thickBot="1" x14ac:dyDescent="0.6">
      <c r="A31" s="15"/>
      <c r="B31" s="15" t="s">
        <v>1</v>
      </c>
      <c r="C31" s="20" t="s">
        <v>18</v>
      </c>
      <c r="D31" s="21" t="s">
        <v>2</v>
      </c>
      <c r="E31" s="4"/>
      <c r="J31" s="6"/>
      <c r="K31" s="6"/>
      <c r="L31" s="6"/>
      <c r="M31" s="6"/>
      <c r="N31" s="6"/>
      <c r="O31" s="6"/>
      <c r="P31" s="6"/>
    </row>
    <row r="32" spans="1:16" s="5" customFormat="1" ht="42.75" customHeight="1" thickBot="1" x14ac:dyDescent="0.6">
      <c r="A32" s="23">
        <v>1050</v>
      </c>
      <c r="B32" s="24"/>
      <c r="C32" s="25" t="s">
        <v>3</v>
      </c>
      <c r="D32" s="26"/>
      <c r="E32" s="54"/>
      <c r="J32" s="6"/>
      <c r="K32" s="6"/>
      <c r="L32" s="6"/>
      <c r="M32" s="6"/>
      <c r="N32" s="6"/>
      <c r="O32" s="6"/>
      <c r="P32" s="6"/>
    </row>
    <row r="33" spans="1:16" s="5" customFormat="1" ht="42.75" customHeight="1" thickBot="1" x14ac:dyDescent="0.6">
      <c r="A33" s="23">
        <v>1100</v>
      </c>
      <c r="B33" s="24"/>
      <c r="C33" s="31" t="s">
        <v>4</v>
      </c>
      <c r="D33" s="32"/>
      <c r="E33" s="54"/>
      <c r="J33" s="6"/>
      <c r="K33" s="6"/>
      <c r="L33" s="6"/>
      <c r="M33" s="6"/>
      <c r="N33" s="6"/>
      <c r="O33" s="6"/>
      <c r="P33" s="6"/>
    </row>
    <row r="34" spans="1:16" s="5" customFormat="1" ht="42.75" customHeight="1" thickBot="1" x14ac:dyDescent="0.7">
      <c r="A34" s="34">
        <f>A33-A32</f>
        <v>50</v>
      </c>
      <c r="B34" s="35"/>
      <c r="C34" s="36" t="s">
        <v>5</v>
      </c>
      <c r="D34" s="32"/>
      <c r="E34" s="55"/>
      <c r="J34" s="6"/>
      <c r="K34" s="6"/>
      <c r="L34" s="6"/>
      <c r="M34" s="6"/>
      <c r="N34" s="6"/>
      <c r="O34" s="6"/>
      <c r="P34" s="6"/>
    </row>
    <row r="35" spans="1:16" s="5" customFormat="1" ht="42.75" customHeight="1" thickBot="1" x14ac:dyDescent="0.6">
      <c r="A35" s="38">
        <v>60</v>
      </c>
      <c r="B35" s="39"/>
      <c r="C35" s="31" t="s">
        <v>6</v>
      </c>
      <c r="D35" s="32"/>
      <c r="E35" s="37"/>
      <c r="J35" s="6"/>
      <c r="K35" s="6"/>
      <c r="L35" s="6"/>
      <c r="M35" s="6"/>
      <c r="N35" s="6"/>
      <c r="O35" s="6"/>
      <c r="P35" s="6"/>
    </row>
    <row r="36" spans="1:16" s="5" customFormat="1" ht="42.75" customHeight="1" thickBot="1" x14ac:dyDescent="0.6">
      <c r="A36" s="40"/>
      <c r="B36" s="41"/>
      <c r="C36" s="31" t="s">
        <v>7</v>
      </c>
      <c r="D36" s="32"/>
      <c r="E36" s="37"/>
      <c r="J36" s="6"/>
      <c r="K36" s="6"/>
      <c r="L36" s="6"/>
      <c r="M36" s="6"/>
      <c r="N36" s="6"/>
      <c r="O36" s="6"/>
      <c r="P36" s="6"/>
    </row>
    <row r="37" spans="1:16" s="5" customFormat="1" ht="42.75" customHeight="1" thickBot="1" x14ac:dyDescent="0.6">
      <c r="A37" s="42">
        <f>A35*A34</f>
        <v>3000</v>
      </c>
      <c r="B37" s="43"/>
      <c r="C37" s="31" t="s">
        <v>8</v>
      </c>
      <c r="D37" s="32"/>
      <c r="E37" s="37"/>
      <c r="J37" s="6"/>
      <c r="K37" s="6"/>
      <c r="L37" s="6"/>
      <c r="M37" s="6"/>
      <c r="N37" s="6"/>
      <c r="O37" s="6"/>
      <c r="P37" s="6"/>
    </row>
    <row r="38" spans="1:16" s="5" customFormat="1" ht="42.75" customHeight="1" thickBot="1" x14ac:dyDescent="0.6">
      <c r="A38" s="62" t="s">
        <v>9</v>
      </c>
      <c r="B38" s="63"/>
      <c r="C38" s="63"/>
      <c r="D38" s="64"/>
      <c r="E38" s="37"/>
      <c r="J38" s="6"/>
      <c r="K38" s="6"/>
      <c r="L38" s="6"/>
      <c r="M38" s="6"/>
      <c r="N38" s="6"/>
      <c r="O38" s="6"/>
      <c r="P38" s="6"/>
    </row>
    <row r="39" spans="1:16" s="5" customFormat="1" ht="42.75" customHeight="1" thickBot="1" x14ac:dyDescent="0.6">
      <c r="A39" s="65" t="s">
        <v>10</v>
      </c>
      <c r="B39" s="66"/>
      <c r="C39" s="66"/>
      <c r="D39" s="67"/>
      <c r="E39" s="37"/>
      <c r="J39" s="6"/>
      <c r="K39" s="6"/>
      <c r="L39" s="6"/>
      <c r="M39" s="6"/>
      <c r="N39" s="6"/>
      <c r="O39" s="6"/>
      <c r="P39" s="6"/>
    </row>
    <row r="40" spans="1:16" s="5" customFormat="1" ht="42.75" customHeight="1" thickBot="1" x14ac:dyDescent="0.6">
      <c r="A40" s="68" t="s">
        <v>11</v>
      </c>
      <c r="B40" s="69"/>
      <c r="C40" s="69"/>
      <c r="D40" s="70"/>
      <c r="E40" s="37"/>
      <c r="J40" s="6"/>
      <c r="K40" s="6"/>
      <c r="L40" s="6"/>
      <c r="M40" s="6"/>
      <c r="N40" s="6"/>
      <c r="O40" s="6"/>
      <c r="P40" s="6"/>
    </row>
    <row r="41" spans="1:16" s="5" customFormat="1" ht="42.75" customHeight="1" thickBot="1" x14ac:dyDescent="0.6">
      <c r="A41" s="53"/>
      <c r="B41" s="53"/>
      <c r="C41" s="53"/>
      <c r="D41" s="53"/>
      <c r="E41" s="37"/>
      <c r="J41" s="6"/>
      <c r="K41" s="6"/>
      <c r="L41" s="6"/>
      <c r="M41" s="6"/>
      <c r="N41" s="6"/>
      <c r="O41" s="6"/>
      <c r="P41" s="6"/>
    </row>
    <row r="42" spans="1:16" s="5" customFormat="1" ht="42.75" customHeight="1" thickBot="1" x14ac:dyDescent="0.6">
      <c r="A42" s="71" t="s">
        <v>13</v>
      </c>
      <c r="B42" s="72"/>
      <c r="C42" s="72"/>
      <c r="D42" s="73"/>
      <c r="E42" s="37"/>
      <c r="J42" s="6"/>
      <c r="K42" s="6"/>
      <c r="L42" s="6"/>
      <c r="M42" s="6"/>
      <c r="N42" s="6"/>
      <c r="O42" s="6"/>
      <c r="P42" s="6"/>
    </row>
    <row r="43" spans="1:16" s="5" customFormat="1" ht="42.75" customHeight="1" thickBot="1" x14ac:dyDescent="0.6">
      <c r="A43" s="10" t="s">
        <v>15</v>
      </c>
      <c r="B43" s="11"/>
      <c r="C43" s="12" t="s">
        <v>14</v>
      </c>
      <c r="D43" s="11"/>
      <c r="E43" s="37"/>
      <c r="J43" s="6"/>
      <c r="K43" s="6"/>
      <c r="L43" s="6"/>
      <c r="M43" s="6"/>
      <c r="N43" s="6"/>
      <c r="O43" s="6"/>
      <c r="P43" s="6"/>
    </row>
    <row r="44" spans="1:16" s="5" customFormat="1" ht="42.75" customHeight="1" thickBot="1" x14ac:dyDescent="0.6">
      <c r="A44" s="74" t="s">
        <v>17</v>
      </c>
      <c r="B44" s="15" t="s">
        <v>0</v>
      </c>
      <c r="C44" s="16" t="s">
        <v>16</v>
      </c>
      <c r="D44" s="17"/>
      <c r="E44" s="37"/>
      <c r="J44" s="6"/>
      <c r="K44" s="6"/>
      <c r="L44" s="6"/>
      <c r="M44" s="6"/>
      <c r="N44" s="6"/>
      <c r="O44" s="6"/>
      <c r="P44" s="6"/>
    </row>
    <row r="45" spans="1:16" s="5" customFormat="1" ht="42.75" customHeight="1" thickBot="1" x14ac:dyDescent="0.6">
      <c r="A45" s="15"/>
      <c r="B45" s="15" t="s">
        <v>1</v>
      </c>
      <c r="C45" s="20" t="s">
        <v>18</v>
      </c>
      <c r="D45" s="21" t="s">
        <v>2</v>
      </c>
      <c r="E45" s="37"/>
      <c r="J45" s="6"/>
      <c r="K45" s="6"/>
      <c r="L45" s="6"/>
      <c r="M45" s="6"/>
      <c r="N45" s="6"/>
      <c r="O45" s="6"/>
      <c r="P45" s="6"/>
    </row>
    <row r="46" spans="1:16" s="5" customFormat="1" ht="42.75" customHeight="1" thickBot="1" x14ac:dyDescent="0.6">
      <c r="A46" s="23">
        <v>1050</v>
      </c>
      <c r="B46" s="24"/>
      <c r="C46" s="25" t="s">
        <v>3</v>
      </c>
      <c r="D46" s="26"/>
      <c r="E46" s="4"/>
      <c r="J46" s="6"/>
      <c r="K46" s="6"/>
      <c r="L46" s="6"/>
      <c r="M46" s="6"/>
      <c r="N46" s="6"/>
      <c r="O46" s="6"/>
      <c r="P46" s="6"/>
    </row>
    <row r="47" spans="1:16" s="5" customFormat="1" ht="42.75" customHeight="1" thickBot="1" x14ac:dyDescent="0.6">
      <c r="A47" s="23">
        <v>1100</v>
      </c>
      <c r="B47" s="24"/>
      <c r="C47" s="31" t="s">
        <v>4</v>
      </c>
      <c r="D47" s="32"/>
      <c r="E47" s="4"/>
      <c r="J47" s="6"/>
      <c r="K47" s="6"/>
      <c r="L47" s="6"/>
      <c r="M47" s="6"/>
      <c r="N47" s="6"/>
      <c r="O47" s="6"/>
      <c r="P47" s="6"/>
    </row>
    <row r="48" spans="1:16" s="5" customFormat="1" ht="42.75" customHeight="1" thickBot="1" x14ac:dyDescent="0.7">
      <c r="A48" s="34">
        <f>A47-A46</f>
        <v>50</v>
      </c>
      <c r="B48" s="35"/>
      <c r="C48" s="36" t="s">
        <v>5</v>
      </c>
      <c r="D48" s="32"/>
      <c r="E48" s="54"/>
      <c r="J48" s="6"/>
      <c r="K48" s="6"/>
      <c r="L48" s="6"/>
      <c r="M48" s="6"/>
      <c r="N48" s="6"/>
      <c r="O48" s="6"/>
      <c r="P48" s="6"/>
    </row>
    <row r="49" spans="1:16" s="5" customFormat="1" ht="42.75" customHeight="1" thickBot="1" x14ac:dyDescent="0.6">
      <c r="A49" s="38">
        <v>60</v>
      </c>
      <c r="B49" s="39"/>
      <c r="C49" s="31" t="s">
        <v>6</v>
      </c>
      <c r="D49" s="32"/>
      <c r="E49" s="54"/>
      <c r="J49" s="6"/>
      <c r="K49" s="6"/>
      <c r="L49" s="6"/>
      <c r="M49" s="6"/>
      <c r="N49" s="6"/>
      <c r="O49" s="6"/>
      <c r="P49" s="6"/>
    </row>
    <row r="50" spans="1:16" s="5" customFormat="1" ht="42.75" customHeight="1" thickBot="1" x14ac:dyDescent="0.6">
      <c r="A50" s="40"/>
      <c r="B50" s="41"/>
      <c r="C50" s="31" t="s">
        <v>7</v>
      </c>
      <c r="D50" s="32"/>
      <c r="E50" s="55"/>
      <c r="J50" s="6"/>
      <c r="K50" s="6"/>
      <c r="L50" s="6"/>
      <c r="M50" s="6"/>
      <c r="N50" s="6"/>
      <c r="O50" s="6"/>
      <c r="P50" s="6"/>
    </row>
    <row r="51" spans="1:16" s="5" customFormat="1" ht="42.75" customHeight="1" thickBot="1" x14ac:dyDescent="0.6">
      <c r="A51" s="42">
        <f>A49*A48</f>
        <v>3000</v>
      </c>
      <c r="B51" s="43"/>
      <c r="C51" s="31" t="s">
        <v>8</v>
      </c>
      <c r="D51" s="32"/>
      <c r="E51" s="37"/>
      <c r="J51" s="6"/>
      <c r="K51" s="6"/>
      <c r="L51" s="6"/>
      <c r="M51" s="6"/>
      <c r="N51" s="6"/>
      <c r="O51" s="6"/>
      <c r="P51" s="6"/>
    </row>
    <row r="52" spans="1:16" s="5" customFormat="1" ht="42.75" customHeight="1" thickBot="1" x14ac:dyDescent="0.6">
      <c r="A52" s="62" t="s">
        <v>9</v>
      </c>
      <c r="B52" s="63"/>
      <c r="C52" s="63"/>
      <c r="D52" s="64"/>
      <c r="E52" s="37"/>
      <c r="J52" s="6"/>
      <c r="K52" s="6"/>
      <c r="L52" s="6"/>
      <c r="M52" s="6"/>
      <c r="N52" s="6"/>
      <c r="O52" s="6"/>
      <c r="P52" s="6"/>
    </row>
    <row r="53" spans="1:16" s="5" customFormat="1" ht="42.75" customHeight="1" thickBot="1" x14ac:dyDescent="0.6">
      <c r="A53" s="65" t="s">
        <v>10</v>
      </c>
      <c r="B53" s="66"/>
      <c r="C53" s="66"/>
      <c r="D53" s="67"/>
      <c r="E53" s="37"/>
      <c r="J53" s="6"/>
      <c r="K53" s="6"/>
      <c r="L53" s="6"/>
      <c r="M53" s="6"/>
      <c r="N53" s="6"/>
      <c r="O53" s="6"/>
      <c r="P53" s="6"/>
    </row>
    <row r="54" spans="1:16" s="5" customFormat="1" ht="42.75" customHeight="1" thickBot="1" x14ac:dyDescent="0.6">
      <c r="A54" s="68" t="s">
        <v>11</v>
      </c>
      <c r="B54" s="69"/>
      <c r="C54" s="69"/>
      <c r="D54" s="70"/>
      <c r="E54" s="37"/>
      <c r="J54" s="6"/>
      <c r="K54" s="6"/>
      <c r="L54" s="6"/>
      <c r="M54" s="6"/>
      <c r="N54" s="6"/>
      <c r="O54" s="6"/>
      <c r="P54" s="6"/>
    </row>
    <row r="55" spans="1:16" s="5" customFormat="1" ht="42.75" customHeight="1" thickBot="1" x14ac:dyDescent="0.6">
      <c r="A55" s="71" t="s">
        <v>13</v>
      </c>
      <c r="B55" s="72"/>
      <c r="C55" s="72"/>
      <c r="D55" s="73"/>
      <c r="E55" s="37"/>
      <c r="J55" s="6"/>
      <c r="K55" s="6"/>
      <c r="L55" s="6"/>
      <c r="M55" s="6"/>
      <c r="N55" s="6"/>
      <c r="O55" s="6"/>
      <c r="P55" s="6"/>
    </row>
    <row r="56" spans="1:16" s="5" customFormat="1" ht="42.75" customHeight="1" thickBot="1" x14ac:dyDescent="0.6">
      <c r="A56" s="10" t="s">
        <v>15</v>
      </c>
      <c r="B56" s="11"/>
      <c r="C56" s="12" t="s">
        <v>14</v>
      </c>
      <c r="D56" s="11"/>
      <c r="E56" s="37"/>
      <c r="J56" s="6"/>
      <c r="K56" s="6"/>
      <c r="L56" s="6"/>
      <c r="M56" s="6"/>
      <c r="N56" s="6"/>
      <c r="O56" s="6"/>
      <c r="P56" s="6"/>
    </row>
    <row r="57" spans="1:16" s="5" customFormat="1" ht="42.75" customHeight="1" thickBot="1" x14ac:dyDescent="0.6">
      <c r="A57" s="74" t="s">
        <v>17</v>
      </c>
      <c r="B57" s="15" t="s">
        <v>0</v>
      </c>
      <c r="C57" s="16" t="s">
        <v>16</v>
      </c>
      <c r="D57" s="17"/>
      <c r="E57" s="37"/>
      <c r="J57" s="6"/>
      <c r="K57" s="6"/>
      <c r="L57" s="6"/>
      <c r="M57" s="6"/>
      <c r="N57" s="6"/>
      <c r="O57" s="6"/>
      <c r="P57" s="6"/>
    </row>
    <row r="58" spans="1:16" s="5" customFormat="1" ht="42.75" customHeight="1" thickBot="1" x14ac:dyDescent="0.6">
      <c r="A58" s="15"/>
      <c r="B58" s="15" t="s">
        <v>1</v>
      </c>
      <c r="C58" s="20" t="s">
        <v>18</v>
      </c>
      <c r="D58" s="21" t="s">
        <v>2</v>
      </c>
      <c r="E58" s="37"/>
      <c r="J58" s="6"/>
      <c r="K58" s="6"/>
      <c r="L58" s="6"/>
      <c r="M58" s="6"/>
      <c r="N58" s="6"/>
      <c r="O58" s="6"/>
      <c r="P58" s="6"/>
    </row>
    <row r="59" spans="1:16" s="5" customFormat="1" ht="42.75" customHeight="1" thickBot="1" x14ac:dyDescent="0.6">
      <c r="A59" s="23">
        <v>1050</v>
      </c>
      <c r="B59" s="24"/>
      <c r="C59" s="25" t="s">
        <v>3</v>
      </c>
      <c r="D59" s="26"/>
      <c r="E59" s="37"/>
      <c r="J59" s="6"/>
      <c r="K59" s="6"/>
      <c r="L59" s="6"/>
      <c r="M59" s="6"/>
      <c r="N59" s="6"/>
      <c r="O59" s="6"/>
      <c r="P59" s="6"/>
    </row>
    <row r="60" spans="1:16" s="5" customFormat="1" ht="42.75" customHeight="1" thickBot="1" x14ac:dyDescent="0.6">
      <c r="A60" s="23">
        <v>1100</v>
      </c>
      <c r="B60" s="24"/>
      <c r="C60" s="31" t="s">
        <v>4</v>
      </c>
      <c r="D60" s="32"/>
      <c r="E60" s="37"/>
      <c r="J60" s="6"/>
      <c r="K60" s="6"/>
      <c r="L60" s="6"/>
      <c r="M60" s="6"/>
      <c r="N60" s="6"/>
      <c r="O60" s="6"/>
      <c r="P60" s="6"/>
    </row>
    <row r="61" spans="1:16" s="5" customFormat="1" ht="42.75" customHeight="1" thickBot="1" x14ac:dyDescent="0.7">
      <c r="A61" s="34">
        <f>A60-A59</f>
        <v>50</v>
      </c>
      <c r="B61" s="35"/>
      <c r="C61" s="36" t="s">
        <v>5</v>
      </c>
      <c r="D61" s="32"/>
      <c r="E61" s="4"/>
      <c r="J61" s="6"/>
      <c r="K61" s="6"/>
      <c r="L61" s="6"/>
      <c r="M61" s="6"/>
      <c r="N61" s="6"/>
      <c r="O61" s="6"/>
      <c r="P61" s="6"/>
    </row>
    <row r="62" spans="1:16" s="5" customFormat="1" ht="42.75" customHeight="1" thickBot="1" x14ac:dyDescent="0.6">
      <c r="A62" s="38">
        <v>60</v>
      </c>
      <c r="B62" s="39"/>
      <c r="C62" s="31" t="s">
        <v>6</v>
      </c>
      <c r="D62" s="32"/>
      <c r="E62" s="4"/>
      <c r="J62" s="6"/>
      <c r="K62" s="6"/>
      <c r="L62" s="6"/>
      <c r="M62" s="6"/>
      <c r="N62" s="6"/>
      <c r="O62" s="6"/>
      <c r="P62" s="6"/>
    </row>
    <row r="63" spans="1:16" s="5" customFormat="1" ht="42.75" customHeight="1" thickBot="1" x14ac:dyDescent="0.6">
      <c r="A63" s="40"/>
      <c r="B63" s="41"/>
      <c r="C63" s="31" t="s">
        <v>7</v>
      </c>
      <c r="D63" s="32"/>
      <c r="E63" s="54"/>
      <c r="J63" s="6"/>
      <c r="K63" s="6"/>
      <c r="L63" s="6"/>
      <c r="M63" s="6"/>
      <c r="N63" s="6"/>
      <c r="O63" s="6"/>
      <c r="P63" s="6"/>
    </row>
    <row r="64" spans="1:16" s="5" customFormat="1" ht="42.75" customHeight="1" thickBot="1" x14ac:dyDescent="0.6">
      <c r="A64" s="42">
        <f>A62*A61</f>
        <v>3000</v>
      </c>
      <c r="B64" s="43"/>
      <c r="C64" s="31" t="s">
        <v>8</v>
      </c>
      <c r="D64" s="32"/>
      <c r="E64" s="54"/>
      <c r="J64" s="6"/>
      <c r="K64" s="6"/>
      <c r="L64" s="6"/>
      <c r="M64" s="6"/>
      <c r="N64" s="6"/>
      <c r="O64" s="6"/>
      <c r="P64" s="6"/>
    </row>
    <row r="65" spans="1:16" s="5" customFormat="1" ht="42.75" customHeight="1" thickBot="1" x14ac:dyDescent="0.6">
      <c r="A65" s="62" t="s">
        <v>9</v>
      </c>
      <c r="B65" s="63"/>
      <c r="C65" s="63"/>
      <c r="D65" s="64"/>
      <c r="E65" s="55"/>
      <c r="J65" s="6"/>
      <c r="K65" s="6"/>
      <c r="L65" s="6"/>
      <c r="M65" s="6"/>
      <c r="N65" s="6"/>
      <c r="O65" s="6"/>
      <c r="P65" s="6"/>
    </row>
    <row r="66" spans="1:16" s="5" customFormat="1" ht="42.75" customHeight="1" thickBot="1" x14ac:dyDescent="0.6">
      <c r="A66" s="65" t="s">
        <v>10</v>
      </c>
      <c r="B66" s="66"/>
      <c r="C66" s="66"/>
      <c r="D66" s="67"/>
      <c r="E66" s="37"/>
      <c r="J66" s="6"/>
      <c r="K66" s="6"/>
      <c r="L66" s="6"/>
      <c r="M66" s="6"/>
      <c r="N66" s="6"/>
      <c r="O66" s="6"/>
      <c r="P66" s="6"/>
    </row>
    <row r="67" spans="1:16" s="5" customFormat="1" ht="42.75" customHeight="1" thickBot="1" x14ac:dyDescent="0.6">
      <c r="A67" s="68" t="s">
        <v>11</v>
      </c>
      <c r="B67" s="69"/>
      <c r="C67" s="69"/>
      <c r="D67" s="70"/>
      <c r="E67" s="37"/>
      <c r="J67" s="6"/>
      <c r="K67" s="6"/>
      <c r="L67" s="6"/>
      <c r="M67" s="6"/>
      <c r="N67" s="6"/>
      <c r="O67" s="6"/>
      <c r="P67" s="6"/>
    </row>
    <row r="68" spans="1:16" s="5" customFormat="1" ht="42.75" customHeight="1" thickBot="1" x14ac:dyDescent="0.6">
      <c r="A68" s="53"/>
      <c r="B68" s="53"/>
      <c r="C68" s="53"/>
      <c r="D68" s="53"/>
      <c r="E68" s="37"/>
      <c r="J68" s="6"/>
      <c r="K68" s="6"/>
      <c r="L68" s="6"/>
      <c r="M68" s="6"/>
      <c r="N68" s="6"/>
      <c r="O68" s="6"/>
      <c r="P68" s="6"/>
    </row>
    <row r="69" spans="1:16" s="5" customFormat="1" ht="42.75" customHeight="1" thickBot="1" x14ac:dyDescent="0.6">
      <c r="A69" s="71" t="s">
        <v>13</v>
      </c>
      <c r="B69" s="72"/>
      <c r="C69" s="72"/>
      <c r="D69" s="73"/>
      <c r="E69" s="37"/>
      <c r="J69" s="6"/>
      <c r="K69" s="6"/>
      <c r="L69" s="6"/>
      <c r="M69" s="6"/>
      <c r="N69" s="6"/>
      <c r="O69" s="6"/>
      <c r="P69" s="6"/>
    </row>
    <row r="70" spans="1:16" s="5" customFormat="1" ht="42.75" customHeight="1" thickBot="1" x14ac:dyDescent="0.6">
      <c r="A70" s="10" t="s">
        <v>15</v>
      </c>
      <c r="B70" s="11"/>
      <c r="C70" s="12" t="s">
        <v>14</v>
      </c>
      <c r="D70" s="11"/>
      <c r="E70" s="37"/>
      <c r="J70" s="6"/>
      <c r="K70" s="6"/>
      <c r="L70" s="6"/>
      <c r="M70" s="6"/>
      <c r="N70" s="6"/>
      <c r="O70" s="6"/>
      <c r="P70" s="6"/>
    </row>
    <row r="71" spans="1:16" s="5" customFormat="1" ht="42.75" customHeight="1" thickBot="1" x14ac:dyDescent="0.6">
      <c r="A71" s="74" t="s">
        <v>17</v>
      </c>
      <c r="B71" s="15" t="s">
        <v>0</v>
      </c>
      <c r="C71" s="16" t="s">
        <v>16</v>
      </c>
      <c r="D71" s="17"/>
      <c r="E71" s="37"/>
      <c r="J71" s="6"/>
      <c r="K71" s="6"/>
      <c r="L71" s="6"/>
      <c r="M71" s="6"/>
      <c r="N71" s="6"/>
      <c r="O71" s="6"/>
      <c r="P71" s="6"/>
    </row>
    <row r="72" spans="1:16" s="5" customFormat="1" ht="42.75" customHeight="1" thickBot="1" x14ac:dyDescent="0.6">
      <c r="A72" s="15"/>
      <c r="B72" s="15" t="s">
        <v>1</v>
      </c>
      <c r="C72" s="20" t="s">
        <v>18</v>
      </c>
      <c r="D72" s="21" t="s">
        <v>2</v>
      </c>
      <c r="E72" s="37"/>
      <c r="J72" s="6"/>
      <c r="K72" s="6"/>
      <c r="L72" s="6"/>
      <c r="M72" s="6"/>
      <c r="N72" s="6"/>
      <c r="O72" s="6"/>
      <c r="P72" s="6"/>
    </row>
    <row r="73" spans="1:16" s="5" customFormat="1" ht="42.75" customHeight="1" thickBot="1" x14ac:dyDescent="0.6">
      <c r="A73" s="23">
        <v>1050</v>
      </c>
      <c r="B73" s="24"/>
      <c r="C73" s="25" t="s">
        <v>3</v>
      </c>
      <c r="D73" s="26"/>
      <c r="E73" s="37"/>
      <c r="J73" s="6"/>
      <c r="K73" s="6"/>
      <c r="L73" s="6"/>
      <c r="M73" s="6"/>
      <c r="N73" s="6"/>
      <c r="O73" s="6"/>
      <c r="P73" s="6"/>
    </row>
    <row r="74" spans="1:16" s="5" customFormat="1" ht="42.75" customHeight="1" thickBot="1" x14ac:dyDescent="0.6">
      <c r="A74" s="23">
        <v>1100</v>
      </c>
      <c r="B74" s="24"/>
      <c r="C74" s="31" t="s">
        <v>4</v>
      </c>
      <c r="D74" s="32"/>
      <c r="E74" s="37"/>
      <c r="J74" s="6"/>
      <c r="K74" s="6"/>
      <c r="L74" s="6"/>
      <c r="M74" s="6"/>
      <c r="N74" s="6"/>
      <c r="O74" s="6"/>
      <c r="P74" s="6"/>
    </row>
    <row r="75" spans="1:16" s="5" customFormat="1" ht="42.75" customHeight="1" thickBot="1" x14ac:dyDescent="0.7">
      <c r="A75" s="34">
        <f>A74-A73</f>
        <v>50</v>
      </c>
      <c r="B75" s="35"/>
      <c r="C75" s="36" t="s">
        <v>5</v>
      </c>
      <c r="D75" s="32"/>
      <c r="E75" s="37"/>
      <c r="J75" s="6"/>
      <c r="K75" s="6"/>
      <c r="L75" s="6"/>
      <c r="M75" s="6"/>
      <c r="N75" s="6"/>
      <c r="O75" s="6"/>
      <c r="P75" s="6"/>
    </row>
    <row r="76" spans="1:16" s="5" customFormat="1" ht="42.75" customHeight="1" thickBot="1" x14ac:dyDescent="0.6">
      <c r="A76" s="38">
        <v>60</v>
      </c>
      <c r="B76" s="39"/>
      <c r="C76" s="31" t="s">
        <v>6</v>
      </c>
      <c r="D76" s="32"/>
      <c r="E76" s="37"/>
      <c r="J76" s="6"/>
      <c r="K76" s="6"/>
      <c r="L76" s="6"/>
      <c r="M76" s="6"/>
      <c r="N76" s="6"/>
      <c r="O76" s="6"/>
      <c r="P76" s="6"/>
    </row>
    <row r="77" spans="1:16" s="5" customFormat="1" ht="42.75" customHeight="1" thickBot="1" x14ac:dyDescent="0.6">
      <c r="A77" s="40"/>
      <c r="B77" s="41"/>
      <c r="C77" s="31" t="s">
        <v>7</v>
      </c>
      <c r="D77" s="32"/>
      <c r="E77" s="4"/>
      <c r="J77" s="6"/>
      <c r="K77" s="6"/>
      <c r="L77" s="6"/>
      <c r="M77" s="6"/>
      <c r="N77" s="6"/>
      <c r="O77" s="6"/>
      <c r="P77" s="6"/>
    </row>
    <row r="78" spans="1:16" s="5" customFormat="1" ht="42.75" customHeight="1" thickBot="1" x14ac:dyDescent="0.6">
      <c r="A78" s="42">
        <f>A76*A75</f>
        <v>3000</v>
      </c>
      <c r="B78" s="43"/>
      <c r="C78" s="31" t="s">
        <v>8</v>
      </c>
      <c r="D78" s="32"/>
      <c r="E78" s="4"/>
      <c r="J78" s="6"/>
      <c r="K78" s="6"/>
      <c r="L78" s="6"/>
      <c r="M78" s="6"/>
      <c r="N78" s="6"/>
      <c r="O78" s="6"/>
      <c r="P78" s="6"/>
    </row>
    <row r="79" spans="1:16" s="5" customFormat="1" ht="42.75" customHeight="1" thickBot="1" x14ac:dyDescent="0.6">
      <c r="A79" s="62" t="s">
        <v>9</v>
      </c>
      <c r="B79" s="63"/>
      <c r="C79" s="63"/>
      <c r="D79" s="64"/>
      <c r="E79" s="54"/>
      <c r="J79" s="6"/>
      <c r="K79" s="6"/>
      <c r="L79" s="6"/>
      <c r="M79" s="6"/>
      <c r="N79" s="6"/>
      <c r="O79" s="6"/>
      <c r="P79" s="6"/>
    </row>
    <row r="80" spans="1:16" s="5" customFormat="1" ht="42.75" customHeight="1" thickBot="1" x14ac:dyDescent="0.6">
      <c r="A80" s="65" t="s">
        <v>10</v>
      </c>
      <c r="B80" s="66"/>
      <c r="C80" s="66"/>
      <c r="D80" s="67"/>
      <c r="E80" s="54"/>
      <c r="J80" s="6"/>
      <c r="K80" s="6"/>
      <c r="L80" s="6"/>
      <c r="M80" s="6"/>
      <c r="N80" s="6"/>
      <c r="O80" s="6"/>
      <c r="P80" s="6"/>
    </row>
    <row r="81" spans="1:16" s="5" customFormat="1" ht="42.75" customHeight="1" thickBot="1" x14ac:dyDescent="0.6">
      <c r="A81" s="68" t="s">
        <v>11</v>
      </c>
      <c r="B81" s="69"/>
      <c r="C81" s="69"/>
      <c r="D81" s="70"/>
      <c r="E81" s="55"/>
      <c r="J81" s="6"/>
      <c r="K81" s="6"/>
      <c r="L81" s="6"/>
      <c r="M81" s="6"/>
      <c r="N81" s="6"/>
      <c r="O81" s="6"/>
      <c r="P81" s="6"/>
    </row>
    <row r="82" spans="1:16" ht="42.75" customHeight="1" thickBot="1" x14ac:dyDescent="0.6">
      <c r="A82" s="71" t="s">
        <v>13</v>
      </c>
      <c r="B82" s="72"/>
      <c r="C82" s="72"/>
      <c r="D82" s="73"/>
    </row>
    <row r="83" spans="1:16" ht="42.75" customHeight="1" thickBot="1" x14ac:dyDescent="0.6">
      <c r="A83" s="10" t="s">
        <v>15</v>
      </c>
      <c r="B83" s="11"/>
      <c r="C83" s="12" t="s">
        <v>14</v>
      </c>
      <c r="D83" s="11"/>
    </row>
    <row r="84" spans="1:16" ht="42.75" customHeight="1" thickBot="1" x14ac:dyDescent="0.6">
      <c r="A84" s="74" t="s">
        <v>17</v>
      </c>
      <c r="B84" s="15" t="s">
        <v>0</v>
      </c>
      <c r="C84" s="16" t="s">
        <v>16</v>
      </c>
      <c r="D84" s="17"/>
    </row>
    <row r="85" spans="1:16" ht="42.75" customHeight="1" thickBot="1" x14ac:dyDescent="0.6">
      <c r="A85" s="15"/>
      <c r="B85" s="15" t="s">
        <v>1</v>
      </c>
      <c r="C85" s="20" t="s">
        <v>18</v>
      </c>
      <c r="D85" s="21" t="s">
        <v>2</v>
      </c>
    </row>
    <row r="86" spans="1:16" ht="42.75" customHeight="1" thickBot="1" x14ac:dyDescent="0.6">
      <c r="A86" s="23">
        <v>1050</v>
      </c>
      <c r="B86" s="24"/>
      <c r="C86" s="25" t="s">
        <v>3</v>
      </c>
      <c r="D86" s="26"/>
    </row>
    <row r="87" spans="1:16" ht="42.75" customHeight="1" thickBot="1" x14ac:dyDescent="0.6">
      <c r="A87" s="23">
        <v>1100</v>
      </c>
      <c r="B87" s="24"/>
      <c r="C87" s="31" t="s">
        <v>4</v>
      </c>
      <c r="D87" s="32"/>
    </row>
    <row r="88" spans="1:16" ht="42.75" customHeight="1" thickBot="1" x14ac:dyDescent="0.7">
      <c r="A88" s="34">
        <f>A87-A86</f>
        <v>50</v>
      </c>
      <c r="B88" s="35"/>
      <c r="C88" s="36" t="s">
        <v>5</v>
      </c>
      <c r="D88" s="32"/>
    </row>
    <row r="89" spans="1:16" ht="42.75" customHeight="1" thickBot="1" x14ac:dyDescent="0.6">
      <c r="A89" s="38">
        <v>60</v>
      </c>
      <c r="B89" s="39"/>
      <c r="C89" s="31" t="s">
        <v>6</v>
      </c>
      <c r="D89" s="32"/>
    </row>
    <row r="90" spans="1:16" ht="42.75" customHeight="1" thickBot="1" x14ac:dyDescent="0.6">
      <c r="A90" s="40"/>
      <c r="B90" s="41"/>
      <c r="C90" s="31" t="s">
        <v>7</v>
      </c>
      <c r="D90" s="32"/>
    </row>
    <row r="91" spans="1:16" ht="42.75" customHeight="1" thickBot="1" x14ac:dyDescent="0.6">
      <c r="A91" s="42">
        <f>A89*A88</f>
        <v>3000</v>
      </c>
      <c r="B91" s="43"/>
      <c r="C91" s="31" t="s">
        <v>8</v>
      </c>
      <c r="D91" s="32"/>
    </row>
    <row r="92" spans="1:16" ht="42.75" customHeight="1" thickBot="1" x14ac:dyDescent="0.6">
      <c r="A92" s="62" t="s">
        <v>9</v>
      </c>
      <c r="B92" s="63"/>
      <c r="C92" s="63"/>
      <c r="D92" s="64"/>
    </row>
    <row r="93" spans="1:16" ht="42.75" customHeight="1" thickBot="1" x14ac:dyDescent="0.6">
      <c r="A93" s="65" t="s">
        <v>10</v>
      </c>
      <c r="B93" s="66"/>
      <c r="C93" s="66"/>
      <c r="D93" s="67"/>
    </row>
    <row r="94" spans="1:16" ht="42.75" customHeight="1" thickBot="1" x14ac:dyDescent="0.6">
      <c r="A94" s="68" t="s">
        <v>11</v>
      </c>
      <c r="B94" s="69"/>
      <c r="C94" s="69"/>
      <c r="D94" s="70"/>
    </row>
    <row r="95" spans="1:16" ht="42.75" customHeight="1" thickBot="1" x14ac:dyDescent="0.6">
      <c r="A95" s="53"/>
      <c r="B95" s="53"/>
      <c r="C95" s="53"/>
      <c r="D95" s="53"/>
    </row>
    <row r="96" spans="1:16" ht="42.75" customHeight="1" thickBot="1" x14ac:dyDescent="0.6">
      <c r="A96" s="71" t="s">
        <v>13</v>
      </c>
      <c r="B96" s="72"/>
      <c r="C96" s="72"/>
      <c r="D96" s="73"/>
    </row>
    <row r="97" spans="1:4" ht="42.75" customHeight="1" thickBot="1" x14ac:dyDescent="0.6">
      <c r="A97" s="10" t="s">
        <v>15</v>
      </c>
      <c r="B97" s="11"/>
      <c r="C97" s="12" t="s">
        <v>14</v>
      </c>
      <c r="D97" s="11"/>
    </row>
    <row r="98" spans="1:4" ht="42.75" customHeight="1" thickBot="1" x14ac:dyDescent="0.6">
      <c r="A98" s="74" t="s">
        <v>17</v>
      </c>
      <c r="B98" s="15" t="s">
        <v>0</v>
      </c>
      <c r="C98" s="16" t="s">
        <v>16</v>
      </c>
      <c r="D98" s="17"/>
    </row>
    <row r="99" spans="1:4" ht="42.75" customHeight="1" thickBot="1" x14ac:dyDescent="0.6">
      <c r="A99" s="15"/>
      <c r="B99" s="15" t="s">
        <v>1</v>
      </c>
      <c r="C99" s="20" t="s">
        <v>18</v>
      </c>
      <c r="D99" s="21" t="s">
        <v>2</v>
      </c>
    </row>
    <row r="100" spans="1:4" ht="42.75" customHeight="1" thickBot="1" x14ac:dyDescent="0.6">
      <c r="A100" s="23">
        <v>1050</v>
      </c>
      <c r="B100" s="24"/>
      <c r="C100" s="25" t="s">
        <v>3</v>
      </c>
      <c r="D100" s="26"/>
    </row>
    <row r="101" spans="1:4" ht="42.75" customHeight="1" thickBot="1" x14ac:dyDescent="0.6">
      <c r="A101" s="23">
        <v>1100</v>
      </c>
      <c r="B101" s="24"/>
      <c r="C101" s="31" t="s">
        <v>4</v>
      </c>
      <c r="D101" s="32"/>
    </row>
    <row r="102" spans="1:4" ht="42.75" customHeight="1" thickBot="1" x14ac:dyDescent="0.7">
      <c r="A102" s="34">
        <f>A101-A100</f>
        <v>50</v>
      </c>
      <c r="B102" s="35"/>
      <c r="C102" s="36" t="s">
        <v>5</v>
      </c>
      <c r="D102" s="32"/>
    </row>
    <row r="103" spans="1:4" ht="42.75" customHeight="1" thickBot="1" x14ac:dyDescent="0.6">
      <c r="A103" s="38">
        <v>60</v>
      </c>
      <c r="B103" s="39"/>
      <c r="C103" s="31" t="s">
        <v>6</v>
      </c>
      <c r="D103" s="32"/>
    </row>
    <row r="104" spans="1:4" ht="42.75" customHeight="1" thickBot="1" x14ac:dyDescent="0.6">
      <c r="A104" s="40"/>
      <c r="B104" s="41"/>
      <c r="C104" s="31" t="s">
        <v>7</v>
      </c>
      <c r="D104" s="32"/>
    </row>
    <row r="105" spans="1:4" ht="42.75" customHeight="1" thickBot="1" x14ac:dyDescent="0.6">
      <c r="A105" s="42">
        <f>A103*A102</f>
        <v>3000</v>
      </c>
      <c r="B105" s="43"/>
      <c r="C105" s="31" t="s">
        <v>8</v>
      </c>
      <c r="D105" s="32"/>
    </row>
    <row r="106" spans="1:4" ht="42.75" customHeight="1" thickBot="1" x14ac:dyDescent="0.6">
      <c r="A106" s="62" t="s">
        <v>9</v>
      </c>
      <c r="B106" s="63"/>
      <c r="C106" s="63"/>
      <c r="D106" s="64"/>
    </row>
    <row r="107" spans="1:4" ht="42.75" customHeight="1" thickBot="1" x14ac:dyDescent="0.6">
      <c r="A107" s="65" t="s">
        <v>10</v>
      </c>
      <c r="B107" s="66"/>
      <c r="C107" s="66"/>
      <c r="D107" s="67"/>
    </row>
    <row r="108" spans="1:4" ht="42.75" customHeight="1" thickBot="1" x14ac:dyDescent="0.6">
      <c r="A108" s="68" t="s">
        <v>11</v>
      </c>
      <c r="B108" s="69"/>
      <c r="C108" s="69"/>
      <c r="D108" s="70"/>
    </row>
    <row r="109" spans="1:4" ht="42.75" customHeight="1" thickBot="1" x14ac:dyDescent="0.6">
      <c r="A109" s="71" t="s">
        <v>13</v>
      </c>
      <c r="B109" s="72"/>
      <c r="C109" s="72"/>
      <c r="D109" s="73"/>
    </row>
    <row r="110" spans="1:4" ht="42.75" customHeight="1" thickBot="1" x14ac:dyDescent="0.6">
      <c r="A110" s="10" t="s">
        <v>15</v>
      </c>
      <c r="B110" s="11"/>
      <c r="C110" s="12" t="s">
        <v>14</v>
      </c>
      <c r="D110" s="11"/>
    </row>
    <row r="111" spans="1:4" ht="42.75" customHeight="1" thickBot="1" x14ac:dyDescent="0.6">
      <c r="A111" s="74" t="s">
        <v>17</v>
      </c>
      <c r="B111" s="15" t="s">
        <v>0</v>
      </c>
      <c r="C111" s="16" t="s">
        <v>16</v>
      </c>
      <c r="D111" s="17"/>
    </row>
    <row r="112" spans="1:4" ht="42.75" customHeight="1" thickBot="1" x14ac:dyDescent="0.6">
      <c r="A112" s="15"/>
      <c r="B112" s="15" t="s">
        <v>1</v>
      </c>
      <c r="C112" s="20" t="s">
        <v>18</v>
      </c>
      <c r="D112" s="21" t="s">
        <v>2</v>
      </c>
    </row>
    <row r="113" spans="1:4" ht="42.75" customHeight="1" thickBot="1" x14ac:dyDescent="0.6">
      <c r="A113" s="23">
        <v>1050</v>
      </c>
      <c r="B113" s="24"/>
      <c r="C113" s="25" t="s">
        <v>3</v>
      </c>
      <c r="D113" s="26"/>
    </row>
    <row r="114" spans="1:4" ht="42.75" customHeight="1" thickBot="1" x14ac:dyDescent="0.6">
      <c r="A114" s="23">
        <v>1100</v>
      </c>
      <c r="B114" s="24"/>
      <c r="C114" s="31" t="s">
        <v>4</v>
      </c>
      <c r="D114" s="32"/>
    </row>
    <row r="115" spans="1:4" ht="42.75" customHeight="1" thickBot="1" x14ac:dyDescent="0.7">
      <c r="A115" s="34">
        <f>A114-A113</f>
        <v>50</v>
      </c>
      <c r="B115" s="35"/>
      <c r="C115" s="36" t="s">
        <v>5</v>
      </c>
      <c r="D115" s="32"/>
    </row>
    <row r="116" spans="1:4" ht="42.75" customHeight="1" thickBot="1" x14ac:dyDescent="0.6">
      <c r="A116" s="38">
        <v>60</v>
      </c>
      <c r="B116" s="39"/>
      <c r="C116" s="31" t="s">
        <v>6</v>
      </c>
      <c r="D116" s="32"/>
    </row>
    <row r="117" spans="1:4" ht="42.75" customHeight="1" thickBot="1" x14ac:dyDescent="0.6">
      <c r="A117" s="40"/>
      <c r="B117" s="41"/>
      <c r="C117" s="31" t="s">
        <v>7</v>
      </c>
      <c r="D117" s="32"/>
    </row>
    <row r="118" spans="1:4" ht="42.75" customHeight="1" thickBot="1" x14ac:dyDescent="0.6">
      <c r="A118" s="42">
        <f>A116*A115</f>
        <v>3000</v>
      </c>
      <c r="B118" s="43"/>
      <c r="C118" s="31" t="s">
        <v>8</v>
      </c>
      <c r="D118" s="32"/>
    </row>
    <row r="119" spans="1:4" ht="42.75" customHeight="1" thickBot="1" x14ac:dyDescent="0.6">
      <c r="A119" s="62" t="s">
        <v>9</v>
      </c>
      <c r="B119" s="63"/>
      <c r="C119" s="63"/>
      <c r="D119" s="64"/>
    </row>
    <row r="120" spans="1:4" ht="42.75" customHeight="1" thickBot="1" x14ac:dyDescent="0.6">
      <c r="A120" s="65" t="s">
        <v>10</v>
      </c>
      <c r="B120" s="66"/>
      <c r="C120" s="66"/>
      <c r="D120" s="67"/>
    </row>
    <row r="121" spans="1:4" ht="42.75" customHeight="1" thickBot="1" x14ac:dyDescent="0.6">
      <c r="A121" s="68" t="s">
        <v>11</v>
      </c>
      <c r="B121" s="69"/>
      <c r="C121" s="69"/>
      <c r="D121" s="70"/>
    </row>
    <row r="122" spans="1:4" ht="42.75" customHeight="1" thickBot="1" x14ac:dyDescent="0.6">
      <c r="A122" s="53"/>
      <c r="B122" s="53"/>
      <c r="C122" s="53"/>
      <c r="D122" s="53"/>
    </row>
    <row r="123" spans="1:4" ht="42.75" customHeight="1" thickBot="1" x14ac:dyDescent="0.6">
      <c r="A123" s="71" t="s">
        <v>13</v>
      </c>
      <c r="B123" s="72"/>
      <c r="C123" s="72"/>
      <c r="D123" s="73"/>
    </row>
    <row r="124" spans="1:4" ht="42.75" customHeight="1" thickBot="1" x14ac:dyDescent="0.6">
      <c r="A124" s="10" t="s">
        <v>15</v>
      </c>
      <c r="B124" s="11"/>
      <c r="C124" s="12" t="s">
        <v>14</v>
      </c>
      <c r="D124" s="11"/>
    </row>
    <row r="125" spans="1:4" ht="42.75" customHeight="1" thickBot="1" x14ac:dyDescent="0.6">
      <c r="A125" s="74" t="s">
        <v>17</v>
      </c>
      <c r="B125" s="15" t="s">
        <v>0</v>
      </c>
      <c r="C125" s="16" t="s">
        <v>16</v>
      </c>
      <c r="D125" s="17"/>
    </row>
    <row r="126" spans="1:4" ht="42.75" customHeight="1" thickBot="1" x14ac:dyDescent="0.6">
      <c r="A126" s="15"/>
      <c r="B126" s="15" t="s">
        <v>1</v>
      </c>
      <c r="C126" s="20" t="s">
        <v>18</v>
      </c>
      <c r="D126" s="21" t="s">
        <v>2</v>
      </c>
    </row>
    <row r="127" spans="1:4" ht="42.75" customHeight="1" thickBot="1" x14ac:dyDescent="0.6">
      <c r="A127" s="23">
        <v>1050</v>
      </c>
      <c r="B127" s="24"/>
      <c r="C127" s="25" t="s">
        <v>3</v>
      </c>
      <c r="D127" s="26"/>
    </row>
    <row r="128" spans="1:4" ht="42.75" customHeight="1" thickBot="1" x14ac:dyDescent="0.6">
      <c r="A128" s="23">
        <v>1100</v>
      </c>
      <c r="B128" s="24"/>
      <c r="C128" s="31" t="s">
        <v>4</v>
      </c>
      <c r="D128" s="32"/>
    </row>
    <row r="129" spans="1:4" ht="42.75" customHeight="1" thickBot="1" x14ac:dyDescent="0.7">
      <c r="A129" s="34">
        <f>A128-A127</f>
        <v>50</v>
      </c>
      <c r="B129" s="35"/>
      <c r="C129" s="36" t="s">
        <v>5</v>
      </c>
      <c r="D129" s="32"/>
    </row>
    <row r="130" spans="1:4" ht="42.75" customHeight="1" thickBot="1" x14ac:dyDescent="0.6">
      <c r="A130" s="38">
        <v>60</v>
      </c>
      <c r="B130" s="39"/>
      <c r="C130" s="31" t="s">
        <v>6</v>
      </c>
      <c r="D130" s="32"/>
    </row>
    <row r="131" spans="1:4" ht="42.75" customHeight="1" thickBot="1" x14ac:dyDescent="0.6">
      <c r="A131" s="40"/>
      <c r="B131" s="41"/>
      <c r="C131" s="31" t="s">
        <v>7</v>
      </c>
      <c r="D131" s="32"/>
    </row>
    <row r="132" spans="1:4" ht="42.75" customHeight="1" thickBot="1" x14ac:dyDescent="0.6">
      <c r="A132" s="42">
        <f>A130*A129</f>
        <v>3000</v>
      </c>
      <c r="B132" s="43"/>
      <c r="C132" s="31" t="s">
        <v>8</v>
      </c>
      <c r="D132" s="32"/>
    </row>
    <row r="133" spans="1:4" ht="42.75" customHeight="1" thickBot="1" x14ac:dyDescent="0.6">
      <c r="A133" s="62" t="s">
        <v>9</v>
      </c>
      <c r="B133" s="63"/>
      <c r="C133" s="63"/>
      <c r="D133" s="64"/>
    </row>
    <row r="134" spans="1:4" ht="42.75" customHeight="1" thickBot="1" x14ac:dyDescent="0.6">
      <c r="A134" s="65" t="s">
        <v>10</v>
      </c>
      <c r="B134" s="66"/>
      <c r="C134" s="66"/>
      <c r="D134" s="67"/>
    </row>
    <row r="135" spans="1:4" ht="42.75" customHeight="1" thickBot="1" x14ac:dyDescent="0.6">
      <c r="A135" s="68" t="s">
        <v>11</v>
      </c>
      <c r="B135" s="69"/>
      <c r="C135" s="69"/>
      <c r="D135" s="70"/>
    </row>
    <row r="136" spans="1:4" ht="42.75" customHeight="1" thickBot="1" x14ac:dyDescent="0.6">
      <c r="A136" s="71" t="s">
        <v>13</v>
      </c>
      <c r="B136" s="72"/>
      <c r="C136" s="72"/>
      <c r="D136" s="73"/>
    </row>
    <row r="137" spans="1:4" ht="42.75" customHeight="1" thickBot="1" x14ac:dyDescent="0.6">
      <c r="A137" s="10" t="s">
        <v>15</v>
      </c>
      <c r="B137" s="11"/>
      <c r="C137" s="12" t="s">
        <v>14</v>
      </c>
      <c r="D137" s="11"/>
    </row>
    <row r="138" spans="1:4" ht="42.75" customHeight="1" thickBot="1" x14ac:dyDescent="0.6">
      <c r="A138" s="74" t="s">
        <v>17</v>
      </c>
      <c r="B138" s="15" t="s">
        <v>0</v>
      </c>
      <c r="C138" s="16" t="s">
        <v>16</v>
      </c>
      <c r="D138" s="17"/>
    </row>
    <row r="139" spans="1:4" ht="42.75" customHeight="1" thickBot="1" x14ac:dyDescent="0.6">
      <c r="A139" s="15"/>
      <c r="B139" s="15" t="s">
        <v>1</v>
      </c>
      <c r="C139" s="20" t="s">
        <v>18</v>
      </c>
      <c r="D139" s="21" t="s">
        <v>2</v>
      </c>
    </row>
    <row r="140" spans="1:4" ht="42.75" customHeight="1" thickBot="1" x14ac:dyDescent="0.6">
      <c r="A140" s="23">
        <v>1050</v>
      </c>
      <c r="B140" s="24"/>
      <c r="C140" s="25" t="s">
        <v>3</v>
      </c>
      <c r="D140" s="26"/>
    </row>
    <row r="141" spans="1:4" ht="42.75" customHeight="1" thickBot="1" x14ac:dyDescent="0.6">
      <c r="A141" s="23">
        <v>1100</v>
      </c>
      <c r="B141" s="24"/>
      <c r="C141" s="31" t="s">
        <v>4</v>
      </c>
      <c r="D141" s="32"/>
    </row>
    <row r="142" spans="1:4" ht="42.75" customHeight="1" thickBot="1" x14ac:dyDescent="0.7">
      <c r="A142" s="34">
        <f>A141-A140</f>
        <v>50</v>
      </c>
      <c r="B142" s="35"/>
      <c r="C142" s="36" t="s">
        <v>5</v>
      </c>
      <c r="D142" s="32"/>
    </row>
    <row r="143" spans="1:4" ht="42.75" customHeight="1" thickBot="1" x14ac:dyDescent="0.6">
      <c r="A143" s="38">
        <v>60</v>
      </c>
      <c r="B143" s="39"/>
      <c r="C143" s="31" t="s">
        <v>6</v>
      </c>
      <c r="D143" s="32"/>
    </row>
    <row r="144" spans="1:4" ht="42.75" customHeight="1" thickBot="1" x14ac:dyDescent="0.6">
      <c r="A144" s="40"/>
      <c r="B144" s="41"/>
      <c r="C144" s="31" t="s">
        <v>7</v>
      </c>
      <c r="D144" s="32"/>
    </row>
    <row r="145" spans="1:4" ht="42.75" customHeight="1" thickBot="1" x14ac:dyDescent="0.6">
      <c r="A145" s="42">
        <f>A143*A142</f>
        <v>3000</v>
      </c>
      <c r="B145" s="43"/>
      <c r="C145" s="31" t="s">
        <v>8</v>
      </c>
      <c r="D145" s="32"/>
    </row>
    <row r="146" spans="1:4" ht="42.75" customHeight="1" thickBot="1" x14ac:dyDescent="0.6">
      <c r="A146" s="62" t="s">
        <v>9</v>
      </c>
      <c r="B146" s="63"/>
      <c r="C146" s="63"/>
      <c r="D146" s="64"/>
    </row>
    <row r="147" spans="1:4" ht="42.75" customHeight="1" thickBot="1" x14ac:dyDescent="0.6">
      <c r="A147" s="65" t="s">
        <v>10</v>
      </c>
      <c r="B147" s="66"/>
      <c r="C147" s="66"/>
      <c r="D147" s="67"/>
    </row>
    <row r="148" spans="1:4" ht="42.75" customHeight="1" thickBot="1" x14ac:dyDescent="0.6">
      <c r="A148" s="68" t="s">
        <v>11</v>
      </c>
      <c r="B148" s="69"/>
      <c r="C148" s="69"/>
      <c r="D148" s="70"/>
    </row>
    <row r="149" spans="1:4" ht="42.75" customHeight="1" thickBot="1" x14ac:dyDescent="0.6">
      <c r="A149" s="53"/>
      <c r="B149" s="53"/>
      <c r="C149" s="53"/>
      <c r="D149" s="53"/>
    </row>
    <row r="150" spans="1:4" ht="42.75" customHeight="1" thickBot="1" x14ac:dyDescent="0.6">
      <c r="A150" s="71" t="s">
        <v>13</v>
      </c>
      <c r="B150" s="72"/>
      <c r="C150" s="72"/>
      <c r="D150" s="73"/>
    </row>
    <row r="151" spans="1:4" ht="42.75" customHeight="1" thickBot="1" x14ac:dyDescent="0.6">
      <c r="A151" s="10" t="s">
        <v>15</v>
      </c>
      <c r="B151" s="11"/>
      <c r="C151" s="12" t="s">
        <v>14</v>
      </c>
      <c r="D151" s="11"/>
    </row>
    <row r="152" spans="1:4" ht="42.75" customHeight="1" thickBot="1" x14ac:dyDescent="0.6">
      <c r="A152" s="74" t="s">
        <v>17</v>
      </c>
      <c r="B152" s="15" t="s">
        <v>0</v>
      </c>
      <c r="C152" s="16" t="s">
        <v>16</v>
      </c>
      <c r="D152" s="17"/>
    </row>
    <row r="153" spans="1:4" ht="42.75" customHeight="1" thickBot="1" x14ac:dyDescent="0.6">
      <c r="A153" s="15"/>
      <c r="B153" s="15" t="s">
        <v>1</v>
      </c>
      <c r="C153" s="20" t="s">
        <v>18</v>
      </c>
      <c r="D153" s="21" t="s">
        <v>2</v>
      </c>
    </row>
    <row r="154" spans="1:4" ht="42.75" customHeight="1" thickBot="1" x14ac:dyDescent="0.6">
      <c r="A154" s="23">
        <v>1050</v>
      </c>
      <c r="B154" s="24"/>
      <c r="C154" s="25" t="s">
        <v>3</v>
      </c>
      <c r="D154" s="26"/>
    </row>
    <row r="155" spans="1:4" ht="42.75" customHeight="1" thickBot="1" x14ac:dyDescent="0.6">
      <c r="A155" s="23">
        <v>1100</v>
      </c>
      <c r="B155" s="24"/>
      <c r="C155" s="31" t="s">
        <v>4</v>
      </c>
      <c r="D155" s="32"/>
    </row>
    <row r="156" spans="1:4" ht="42.75" customHeight="1" thickBot="1" x14ac:dyDescent="0.7">
      <c r="A156" s="34">
        <f>A155-A154</f>
        <v>50</v>
      </c>
      <c r="B156" s="35"/>
      <c r="C156" s="36" t="s">
        <v>5</v>
      </c>
      <c r="D156" s="32"/>
    </row>
    <row r="157" spans="1:4" ht="42.75" customHeight="1" thickBot="1" x14ac:dyDescent="0.6">
      <c r="A157" s="38">
        <v>60</v>
      </c>
      <c r="B157" s="39"/>
      <c r="C157" s="31" t="s">
        <v>6</v>
      </c>
      <c r="D157" s="32"/>
    </row>
    <row r="158" spans="1:4" ht="42.75" customHeight="1" thickBot="1" x14ac:dyDescent="0.6">
      <c r="A158" s="40"/>
      <c r="B158" s="41"/>
      <c r="C158" s="31" t="s">
        <v>7</v>
      </c>
      <c r="D158" s="32"/>
    </row>
    <row r="159" spans="1:4" ht="42.75" customHeight="1" thickBot="1" x14ac:dyDescent="0.6">
      <c r="A159" s="42">
        <f>A157*A156</f>
        <v>3000</v>
      </c>
      <c r="B159" s="43"/>
      <c r="C159" s="31" t="s">
        <v>8</v>
      </c>
      <c r="D159" s="32"/>
    </row>
    <row r="160" spans="1:4" ht="42.75" customHeight="1" thickBot="1" x14ac:dyDescent="0.6">
      <c r="A160" s="62" t="s">
        <v>9</v>
      </c>
      <c r="B160" s="63"/>
      <c r="C160" s="63"/>
      <c r="D160" s="64"/>
    </row>
    <row r="161" spans="1:4" ht="42.75" customHeight="1" thickBot="1" x14ac:dyDescent="0.6">
      <c r="A161" s="65" t="s">
        <v>10</v>
      </c>
      <c r="B161" s="66"/>
      <c r="C161" s="66"/>
      <c r="D161" s="67"/>
    </row>
    <row r="162" spans="1:4" ht="42.75" customHeight="1" thickBot="1" x14ac:dyDescent="0.6">
      <c r="A162" s="68" t="s">
        <v>11</v>
      </c>
      <c r="B162" s="69"/>
      <c r="C162" s="69"/>
      <c r="D162" s="70"/>
    </row>
    <row r="163" spans="1:4" ht="42.75" customHeight="1" thickBot="1" x14ac:dyDescent="0.6">
      <c r="A163" s="71" t="s">
        <v>13</v>
      </c>
      <c r="B163" s="72"/>
      <c r="C163" s="72"/>
      <c r="D163" s="73"/>
    </row>
    <row r="164" spans="1:4" ht="42.75" customHeight="1" thickBot="1" x14ac:dyDescent="0.6">
      <c r="A164" s="10" t="s">
        <v>15</v>
      </c>
      <c r="B164" s="11"/>
      <c r="C164" s="12" t="s">
        <v>14</v>
      </c>
      <c r="D164" s="11"/>
    </row>
    <row r="165" spans="1:4" ht="42.75" customHeight="1" thickBot="1" x14ac:dyDescent="0.6">
      <c r="A165" s="74" t="s">
        <v>17</v>
      </c>
      <c r="B165" s="15" t="s">
        <v>0</v>
      </c>
      <c r="C165" s="16" t="s">
        <v>16</v>
      </c>
      <c r="D165" s="17"/>
    </row>
    <row r="166" spans="1:4" ht="42.75" customHeight="1" thickBot="1" x14ac:dyDescent="0.6">
      <c r="A166" s="15"/>
      <c r="B166" s="15" t="s">
        <v>1</v>
      </c>
      <c r="C166" s="20" t="s">
        <v>18</v>
      </c>
      <c r="D166" s="21" t="s">
        <v>2</v>
      </c>
    </row>
    <row r="167" spans="1:4" ht="42.75" customHeight="1" thickBot="1" x14ac:dyDescent="0.6">
      <c r="A167" s="23">
        <v>1050</v>
      </c>
      <c r="B167" s="24"/>
      <c r="C167" s="25" t="s">
        <v>3</v>
      </c>
      <c r="D167" s="26"/>
    </row>
    <row r="168" spans="1:4" ht="42.75" customHeight="1" thickBot="1" x14ac:dyDescent="0.6">
      <c r="A168" s="23">
        <v>1100</v>
      </c>
      <c r="B168" s="24"/>
      <c r="C168" s="31" t="s">
        <v>4</v>
      </c>
      <c r="D168" s="32"/>
    </row>
    <row r="169" spans="1:4" ht="42.75" customHeight="1" thickBot="1" x14ac:dyDescent="0.7">
      <c r="A169" s="34">
        <f>A168-A167</f>
        <v>50</v>
      </c>
      <c r="B169" s="35"/>
      <c r="C169" s="36" t="s">
        <v>5</v>
      </c>
      <c r="D169" s="32"/>
    </row>
    <row r="170" spans="1:4" ht="42.75" customHeight="1" thickBot="1" x14ac:dyDescent="0.6">
      <c r="A170" s="38">
        <v>60</v>
      </c>
      <c r="B170" s="39"/>
      <c r="C170" s="31" t="s">
        <v>6</v>
      </c>
      <c r="D170" s="32"/>
    </row>
    <row r="171" spans="1:4" ht="42.75" customHeight="1" thickBot="1" x14ac:dyDescent="0.6">
      <c r="A171" s="40"/>
      <c r="B171" s="41"/>
      <c r="C171" s="31" t="s">
        <v>7</v>
      </c>
      <c r="D171" s="32"/>
    </row>
    <row r="172" spans="1:4" ht="42.75" customHeight="1" thickBot="1" x14ac:dyDescent="0.6">
      <c r="A172" s="42">
        <f>A170*A169</f>
        <v>3000</v>
      </c>
      <c r="B172" s="43"/>
      <c r="C172" s="31" t="s">
        <v>8</v>
      </c>
      <c r="D172" s="32"/>
    </row>
    <row r="173" spans="1:4" ht="42.75" customHeight="1" thickBot="1" x14ac:dyDescent="0.6">
      <c r="A173" s="62" t="s">
        <v>9</v>
      </c>
      <c r="B173" s="63"/>
      <c r="C173" s="63"/>
      <c r="D173" s="64"/>
    </row>
    <row r="174" spans="1:4" ht="42.75" customHeight="1" thickBot="1" x14ac:dyDescent="0.6">
      <c r="A174" s="65" t="s">
        <v>10</v>
      </c>
      <c r="B174" s="66"/>
      <c r="C174" s="66"/>
      <c r="D174" s="67"/>
    </row>
    <row r="175" spans="1:4" ht="42.75" customHeight="1" thickBot="1" x14ac:dyDescent="0.6">
      <c r="A175" s="68" t="s">
        <v>11</v>
      </c>
      <c r="B175" s="69"/>
      <c r="C175" s="69"/>
      <c r="D175" s="70"/>
    </row>
    <row r="176" spans="1:4" ht="42.75" customHeight="1" thickBot="1" x14ac:dyDescent="0.6">
      <c r="A176" s="53"/>
      <c r="B176" s="53"/>
      <c r="C176" s="53"/>
      <c r="D176" s="53"/>
    </row>
    <row r="177" spans="1:4" ht="42.75" customHeight="1" thickBot="1" x14ac:dyDescent="0.6">
      <c r="A177" s="71" t="s">
        <v>13</v>
      </c>
      <c r="B177" s="72"/>
      <c r="C177" s="72"/>
      <c r="D177" s="73"/>
    </row>
    <row r="178" spans="1:4" ht="42.75" customHeight="1" thickBot="1" x14ac:dyDescent="0.6">
      <c r="A178" s="10" t="s">
        <v>15</v>
      </c>
      <c r="B178" s="11"/>
      <c r="C178" s="12" t="s">
        <v>14</v>
      </c>
      <c r="D178" s="11"/>
    </row>
    <row r="179" spans="1:4" ht="42.75" customHeight="1" thickBot="1" x14ac:dyDescent="0.6">
      <c r="A179" s="74" t="s">
        <v>17</v>
      </c>
      <c r="B179" s="15" t="s">
        <v>0</v>
      </c>
      <c r="C179" s="16" t="s">
        <v>16</v>
      </c>
      <c r="D179" s="17"/>
    </row>
    <row r="180" spans="1:4" ht="42.75" customHeight="1" thickBot="1" x14ac:dyDescent="0.6">
      <c r="A180" s="15"/>
      <c r="B180" s="15" t="s">
        <v>1</v>
      </c>
      <c r="C180" s="20" t="s">
        <v>18</v>
      </c>
      <c r="D180" s="21" t="s">
        <v>2</v>
      </c>
    </row>
    <row r="181" spans="1:4" ht="42.75" customHeight="1" thickBot="1" x14ac:dyDescent="0.6">
      <c r="A181" s="23">
        <v>1050</v>
      </c>
      <c r="B181" s="24"/>
      <c r="C181" s="25" t="s">
        <v>3</v>
      </c>
      <c r="D181" s="26"/>
    </row>
    <row r="182" spans="1:4" ht="42.75" customHeight="1" thickBot="1" x14ac:dyDescent="0.6">
      <c r="A182" s="23">
        <v>1100</v>
      </c>
      <c r="B182" s="24"/>
      <c r="C182" s="31" t="s">
        <v>4</v>
      </c>
      <c r="D182" s="32"/>
    </row>
    <row r="183" spans="1:4" ht="42.75" customHeight="1" thickBot="1" x14ac:dyDescent="0.7">
      <c r="A183" s="34">
        <f>A182-A181</f>
        <v>50</v>
      </c>
      <c r="B183" s="35"/>
      <c r="C183" s="36" t="s">
        <v>5</v>
      </c>
      <c r="D183" s="32"/>
    </row>
    <row r="184" spans="1:4" ht="42.75" customHeight="1" thickBot="1" x14ac:dyDescent="0.6">
      <c r="A184" s="38">
        <v>60</v>
      </c>
      <c r="B184" s="39"/>
      <c r="C184" s="31" t="s">
        <v>6</v>
      </c>
      <c r="D184" s="32"/>
    </row>
    <row r="185" spans="1:4" ht="42.75" customHeight="1" thickBot="1" x14ac:dyDescent="0.6">
      <c r="A185" s="40"/>
      <c r="B185" s="41"/>
      <c r="C185" s="31" t="s">
        <v>7</v>
      </c>
      <c r="D185" s="32"/>
    </row>
    <row r="186" spans="1:4" ht="42.75" customHeight="1" thickBot="1" x14ac:dyDescent="0.6">
      <c r="A186" s="42">
        <f>A184*A183</f>
        <v>3000</v>
      </c>
      <c r="B186" s="43"/>
      <c r="C186" s="31" t="s">
        <v>8</v>
      </c>
      <c r="D186" s="32"/>
    </row>
    <row r="187" spans="1:4" ht="42.75" customHeight="1" thickBot="1" x14ac:dyDescent="0.6">
      <c r="A187" s="62" t="s">
        <v>9</v>
      </c>
      <c r="B187" s="63"/>
      <c r="C187" s="63"/>
      <c r="D187" s="64"/>
    </row>
    <row r="188" spans="1:4" ht="42.75" customHeight="1" thickBot="1" x14ac:dyDescent="0.6">
      <c r="A188" s="65" t="s">
        <v>10</v>
      </c>
      <c r="B188" s="66"/>
      <c r="C188" s="66"/>
      <c r="D188" s="67"/>
    </row>
    <row r="189" spans="1:4" ht="42.75" customHeight="1" thickBot="1" x14ac:dyDescent="0.6">
      <c r="A189" s="68" t="s">
        <v>11</v>
      </c>
      <c r="B189" s="69"/>
      <c r="C189" s="69"/>
      <c r="D189" s="70"/>
    </row>
    <row r="190" spans="1:4" ht="42.75" customHeight="1" thickBot="1" x14ac:dyDescent="0.6">
      <c r="A190" s="71" t="s">
        <v>13</v>
      </c>
      <c r="B190" s="72"/>
      <c r="C190" s="72"/>
      <c r="D190" s="73"/>
    </row>
    <row r="191" spans="1:4" ht="42.75" customHeight="1" thickBot="1" x14ac:dyDescent="0.6">
      <c r="A191" s="10" t="s">
        <v>15</v>
      </c>
      <c r="B191" s="11"/>
      <c r="C191" s="12" t="s">
        <v>14</v>
      </c>
      <c r="D191" s="11"/>
    </row>
    <row r="192" spans="1:4" ht="42.75" customHeight="1" thickBot="1" x14ac:dyDescent="0.6">
      <c r="A192" s="74" t="s">
        <v>17</v>
      </c>
      <c r="B192" s="15" t="s">
        <v>0</v>
      </c>
      <c r="C192" s="16" t="s">
        <v>16</v>
      </c>
      <c r="D192" s="17"/>
    </row>
    <row r="193" spans="1:4" ht="42.75" customHeight="1" thickBot="1" x14ac:dyDescent="0.6">
      <c r="A193" s="15"/>
      <c r="B193" s="15" t="s">
        <v>1</v>
      </c>
      <c r="C193" s="20" t="s">
        <v>18</v>
      </c>
      <c r="D193" s="21" t="s">
        <v>2</v>
      </c>
    </row>
    <row r="194" spans="1:4" ht="42.75" customHeight="1" thickBot="1" x14ac:dyDescent="0.6">
      <c r="A194" s="23">
        <v>1050</v>
      </c>
      <c r="B194" s="24"/>
      <c r="C194" s="25" t="s">
        <v>3</v>
      </c>
      <c r="D194" s="26"/>
    </row>
    <row r="195" spans="1:4" ht="42.75" customHeight="1" thickBot="1" x14ac:dyDescent="0.6">
      <c r="A195" s="23">
        <v>1100</v>
      </c>
      <c r="B195" s="24"/>
      <c r="C195" s="31" t="s">
        <v>4</v>
      </c>
      <c r="D195" s="32"/>
    </row>
    <row r="196" spans="1:4" ht="42.75" customHeight="1" thickBot="1" x14ac:dyDescent="0.7">
      <c r="A196" s="34">
        <f>A195-A194</f>
        <v>50</v>
      </c>
      <c r="B196" s="35"/>
      <c r="C196" s="36" t="s">
        <v>5</v>
      </c>
      <c r="D196" s="32"/>
    </row>
    <row r="197" spans="1:4" ht="42.75" customHeight="1" thickBot="1" x14ac:dyDescent="0.6">
      <c r="A197" s="38">
        <v>60</v>
      </c>
      <c r="B197" s="39"/>
      <c r="C197" s="31" t="s">
        <v>6</v>
      </c>
      <c r="D197" s="32"/>
    </row>
    <row r="198" spans="1:4" ht="42.75" customHeight="1" thickBot="1" x14ac:dyDescent="0.6">
      <c r="A198" s="40"/>
      <c r="B198" s="41"/>
      <c r="C198" s="31" t="s">
        <v>7</v>
      </c>
      <c r="D198" s="32"/>
    </row>
    <row r="199" spans="1:4" ht="42.75" customHeight="1" thickBot="1" x14ac:dyDescent="0.6">
      <c r="A199" s="42">
        <f>A197*A196</f>
        <v>3000</v>
      </c>
      <c r="B199" s="43"/>
      <c r="C199" s="31" t="s">
        <v>8</v>
      </c>
      <c r="D199" s="32"/>
    </row>
    <row r="200" spans="1:4" ht="42.75" customHeight="1" thickBot="1" x14ac:dyDescent="0.6">
      <c r="A200" s="62" t="s">
        <v>9</v>
      </c>
      <c r="B200" s="63"/>
      <c r="C200" s="63"/>
      <c r="D200" s="64"/>
    </row>
    <row r="201" spans="1:4" ht="42.75" customHeight="1" thickBot="1" x14ac:dyDescent="0.6">
      <c r="A201" s="65" t="s">
        <v>10</v>
      </c>
      <c r="B201" s="66"/>
      <c r="C201" s="66"/>
      <c r="D201" s="67"/>
    </row>
    <row r="202" spans="1:4" ht="42.75" customHeight="1" thickBot="1" x14ac:dyDescent="0.6">
      <c r="A202" s="68" t="s">
        <v>11</v>
      </c>
      <c r="B202" s="69"/>
      <c r="C202" s="69"/>
      <c r="D202" s="70"/>
    </row>
    <row r="203" spans="1:4" ht="42.75" customHeight="1" thickBot="1" x14ac:dyDescent="0.6">
      <c r="A203" s="53"/>
      <c r="B203" s="53"/>
      <c r="C203" s="53"/>
      <c r="D203" s="53"/>
    </row>
    <row r="204" spans="1:4" ht="42.75" customHeight="1" thickBot="1" x14ac:dyDescent="0.6">
      <c r="A204" s="71" t="s">
        <v>13</v>
      </c>
      <c r="B204" s="72"/>
      <c r="C204" s="72"/>
      <c r="D204" s="73"/>
    </row>
    <row r="205" spans="1:4" ht="42.75" customHeight="1" thickBot="1" x14ac:dyDescent="0.6">
      <c r="A205" s="10" t="s">
        <v>15</v>
      </c>
      <c r="B205" s="11"/>
      <c r="C205" s="12" t="s">
        <v>14</v>
      </c>
      <c r="D205" s="11"/>
    </row>
    <row r="206" spans="1:4" ht="42.75" customHeight="1" thickBot="1" x14ac:dyDescent="0.6">
      <c r="A206" s="74" t="s">
        <v>17</v>
      </c>
      <c r="B206" s="15" t="s">
        <v>0</v>
      </c>
      <c r="C206" s="16" t="s">
        <v>16</v>
      </c>
      <c r="D206" s="17"/>
    </row>
    <row r="207" spans="1:4" ht="42.75" customHeight="1" thickBot="1" x14ac:dyDescent="0.6">
      <c r="A207" s="15"/>
      <c r="B207" s="15" t="s">
        <v>1</v>
      </c>
      <c r="C207" s="20" t="s">
        <v>18</v>
      </c>
      <c r="D207" s="21" t="s">
        <v>2</v>
      </c>
    </row>
    <row r="208" spans="1:4" ht="42.75" customHeight="1" thickBot="1" x14ac:dyDescent="0.6">
      <c r="A208" s="23">
        <v>1050</v>
      </c>
      <c r="B208" s="24"/>
      <c r="C208" s="25" t="s">
        <v>3</v>
      </c>
      <c r="D208" s="26"/>
    </row>
    <row r="209" spans="1:4" ht="42.75" customHeight="1" thickBot="1" x14ac:dyDescent="0.6">
      <c r="A209" s="23">
        <v>1100</v>
      </c>
      <c r="B209" s="24"/>
      <c r="C209" s="31" t="s">
        <v>4</v>
      </c>
      <c r="D209" s="32"/>
    </row>
    <row r="210" spans="1:4" ht="42.75" customHeight="1" thickBot="1" x14ac:dyDescent="0.7">
      <c r="A210" s="34">
        <f>A209-A208</f>
        <v>50</v>
      </c>
      <c r="B210" s="35"/>
      <c r="C210" s="36" t="s">
        <v>5</v>
      </c>
      <c r="D210" s="32"/>
    </row>
    <row r="211" spans="1:4" ht="42.75" customHeight="1" thickBot="1" x14ac:dyDescent="0.6">
      <c r="A211" s="38">
        <v>60</v>
      </c>
      <c r="B211" s="39"/>
      <c r="C211" s="31" t="s">
        <v>6</v>
      </c>
      <c r="D211" s="32"/>
    </row>
    <row r="212" spans="1:4" ht="42.75" customHeight="1" thickBot="1" x14ac:dyDescent="0.6">
      <c r="A212" s="40"/>
      <c r="B212" s="41"/>
      <c r="C212" s="31" t="s">
        <v>7</v>
      </c>
      <c r="D212" s="32"/>
    </row>
    <row r="213" spans="1:4" ht="42.75" customHeight="1" thickBot="1" x14ac:dyDescent="0.6">
      <c r="A213" s="42">
        <f>A211*A210</f>
        <v>3000</v>
      </c>
      <c r="B213" s="43"/>
      <c r="C213" s="31" t="s">
        <v>8</v>
      </c>
      <c r="D213" s="32"/>
    </row>
    <row r="214" spans="1:4" ht="42.75" customHeight="1" thickBot="1" x14ac:dyDescent="0.6">
      <c r="A214" s="62" t="s">
        <v>9</v>
      </c>
      <c r="B214" s="63"/>
      <c r="C214" s="63"/>
      <c r="D214" s="64"/>
    </row>
    <row r="215" spans="1:4" ht="42.75" customHeight="1" thickBot="1" x14ac:dyDescent="0.6">
      <c r="A215" s="65" t="s">
        <v>10</v>
      </c>
      <c r="B215" s="66"/>
      <c r="C215" s="66"/>
      <c r="D215" s="67"/>
    </row>
    <row r="216" spans="1:4" ht="42.75" customHeight="1" thickBot="1" x14ac:dyDescent="0.6">
      <c r="A216" s="68" t="s">
        <v>11</v>
      </c>
      <c r="B216" s="69"/>
      <c r="C216" s="69"/>
      <c r="D216" s="70"/>
    </row>
    <row r="217" spans="1:4" ht="42.75" customHeight="1" thickBot="1" x14ac:dyDescent="0.6">
      <c r="A217" s="71" t="s">
        <v>13</v>
      </c>
      <c r="B217" s="72"/>
      <c r="C217" s="72"/>
      <c r="D217" s="73"/>
    </row>
    <row r="218" spans="1:4" ht="42.75" customHeight="1" thickBot="1" x14ac:dyDescent="0.6">
      <c r="A218" s="10" t="s">
        <v>15</v>
      </c>
      <c r="B218" s="11"/>
      <c r="C218" s="12" t="s">
        <v>14</v>
      </c>
      <c r="D218" s="11"/>
    </row>
    <row r="219" spans="1:4" ht="42.75" customHeight="1" thickBot="1" x14ac:dyDescent="0.6">
      <c r="A219" s="74" t="s">
        <v>17</v>
      </c>
      <c r="B219" s="15" t="s">
        <v>0</v>
      </c>
      <c r="C219" s="16" t="s">
        <v>16</v>
      </c>
      <c r="D219" s="17"/>
    </row>
    <row r="220" spans="1:4" ht="42.75" customHeight="1" thickBot="1" x14ac:dyDescent="0.6">
      <c r="A220" s="15"/>
      <c r="B220" s="15" t="s">
        <v>1</v>
      </c>
      <c r="C220" s="20" t="s">
        <v>18</v>
      </c>
      <c r="D220" s="21" t="s">
        <v>2</v>
      </c>
    </row>
    <row r="221" spans="1:4" ht="42.75" customHeight="1" thickBot="1" x14ac:dyDescent="0.6">
      <c r="A221" s="23">
        <v>1050</v>
      </c>
      <c r="B221" s="24"/>
      <c r="C221" s="25" t="s">
        <v>3</v>
      </c>
      <c r="D221" s="26"/>
    </row>
    <row r="222" spans="1:4" ht="42.75" customHeight="1" thickBot="1" x14ac:dyDescent="0.6">
      <c r="A222" s="23">
        <v>1100</v>
      </c>
      <c r="B222" s="24"/>
      <c r="C222" s="31" t="s">
        <v>4</v>
      </c>
      <c r="D222" s="32"/>
    </row>
    <row r="223" spans="1:4" ht="42.75" customHeight="1" thickBot="1" x14ac:dyDescent="0.7">
      <c r="A223" s="34">
        <f>A222-A221</f>
        <v>50</v>
      </c>
      <c r="B223" s="35"/>
      <c r="C223" s="36" t="s">
        <v>5</v>
      </c>
      <c r="D223" s="32"/>
    </row>
    <row r="224" spans="1:4" ht="42.75" customHeight="1" thickBot="1" x14ac:dyDescent="0.6">
      <c r="A224" s="38">
        <v>60</v>
      </c>
      <c r="B224" s="39"/>
      <c r="C224" s="31" t="s">
        <v>6</v>
      </c>
      <c r="D224" s="32"/>
    </row>
    <row r="225" spans="1:4" ht="42.75" customHeight="1" thickBot="1" x14ac:dyDescent="0.6">
      <c r="A225" s="40"/>
      <c r="B225" s="41"/>
      <c r="C225" s="31" t="s">
        <v>7</v>
      </c>
      <c r="D225" s="32"/>
    </row>
    <row r="226" spans="1:4" ht="42.75" customHeight="1" thickBot="1" x14ac:dyDescent="0.6">
      <c r="A226" s="42">
        <f>A224*A223</f>
        <v>3000</v>
      </c>
      <c r="B226" s="43"/>
      <c r="C226" s="31" t="s">
        <v>8</v>
      </c>
      <c r="D226" s="32"/>
    </row>
    <row r="227" spans="1:4" ht="42.75" customHeight="1" thickBot="1" x14ac:dyDescent="0.6">
      <c r="A227" s="62" t="s">
        <v>9</v>
      </c>
      <c r="B227" s="63"/>
      <c r="C227" s="63"/>
      <c r="D227" s="64"/>
    </row>
    <row r="228" spans="1:4" ht="42.75" customHeight="1" thickBot="1" x14ac:dyDescent="0.6">
      <c r="A228" s="65" t="s">
        <v>10</v>
      </c>
      <c r="B228" s="66"/>
      <c r="C228" s="66"/>
      <c r="D228" s="67"/>
    </row>
    <row r="229" spans="1:4" ht="42.75" customHeight="1" thickBot="1" x14ac:dyDescent="0.6">
      <c r="A229" s="68" t="s">
        <v>11</v>
      </c>
      <c r="B229" s="69"/>
      <c r="C229" s="69"/>
      <c r="D229" s="70"/>
    </row>
    <row r="230" spans="1:4" ht="42.75" customHeight="1" thickBot="1" x14ac:dyDescent="0.6">
      <c r="A230" s="53"/>
      <c r="B230" s="53"/>
      <c r="C230" s="53"/>
      <c r="D230" s="53"/>
    </row>
    <row r="231" spans="1:4" ht="42.75" customHeight="1" thickBot="1" x14ac:dyDescent="0.6">
      <c r="A231" s="71" t="s">
        <v>13</v>
      </c>
      <c r="B231" s="72"/>
      <c r="C231" s="72"/>
      <c r="D231" s="73"/>
    </row>
    <row r="232" spans="1:4" ht="42.75" customHeight="1" thickBot="1" x14ac:dyDescent="0.6">
      <c r="A232" s="10" t="s">
        <v>15</v>
      </c>
      <c r="B232" s="11"/>
      <c r="C232" s="12" t="s">
        <v>14</v>
      </c>
      <c r="D232" s="11"/>
    </row>
    <row r="233" spans="1:4" ht="42.75" customHeight="1" thickBot="1" x14ac:dyDescent="0.6">
      <c r="A233" s="74" t="s">
        <v>17</v>
      </c>
      <c r="B233" s="15" t="s">
        <v>0</v>
      </c>
      <c r="C233" s="16" t="s">
        <v>16</v>
      </c>
      <c r="D233" s="17"/>
    </row>
    <row r="234" spans="1:4" ht="42.75" customHeight="1" thickBot="1" x14ac:dyDescent="0.6">
      <c r="A234" s="15"/>
      <c r="B234" s="15" t="s">
        <v>1</v>
      </c>
      <c r="C234" s="20" t="s">
        <v>18</v>
      </c>
      <c r="D234" s="21" t="s">
        <v>2</v>
      </c>
    </row>
    <row r="235" spans="1:4" ht="42.75" customHeight="1" thickBot="1" x14ac:dyDescent="0.6">
      <c r="A235" s="23">
        <v>1050</v>
      </c>
      <c r="B235" s="24"/>
      <c r="C235" s="25" t="s">
        <v>3</v>
      </c>
      <c r="D235" s="26"/>
    </row>
    <row r="236" spans="1:4" ht="42.75" customHeight="1" thickBot="1" x14ac:dyDescent="0.6">
      <c r="A236" s="23">
        <v>1100</v>
      </c>
      <c r="B236" s="24"/>
      <c r="C236" s="31" t="s">
        <v>4</v>
      </c>
      <c r="D236" s="32"/>
    </row>
    <row r="237" spans="1:4" ht="42.75" customHeight="1" thickBot="1" x14ac:dyDescent="0.7">
      <c r="A237" s="34">
        <f>A236-A235</f>
        <v>50</v>
      </c>
      <c r="B237" s="35"/>
      <c r="C237" s="36" t="s">
        <v>5</v>
      </c>
      <c r="D237" s="32"/>
    </row>
    <row r="238" spans="1:4" ht="42.75" customHeight="1" thickBot="1" x14ac:dyDescent="0.6">
      <c r="A238" s="38">
        <v>60</v>
      </c>
      <c r="B238" s="39"/>
      <c r="C238" s="31" t="s">
        <v>6</v>
      </c>
      <c r="D238" s="32"/>
    </row>
    <row r="239" spans="1:4" ht="42.75" customHeight="1" thickBot="1" x14ac:dyDescent="0.6">
      <c r="A239" s="40"/>
      <c r="B239" s="41"/>
      <c r="C239" s="31" t="s">
        <v>7</v>
      </c>
      <c r="D239" s="32"/>
    </row>
    <row r="240" spans="1:4" ht="42.75" customHeight="1" thickBot="1" x14ac:dyDescent="0.6">
      <c r="A240" s="42">
        <f>A238*A237</f>
        <v>3000</v>
      </c>
      <c r="B240" s="43"/>
      <c r="C240" s="31" t="s">
        <v>8</v>
      </c>
      <c r="D240" s="32"/>
    </row>
    <row r="241" spans="1:4" ht="42.75" customHeight="1" thickBot="1" x14ac:dyDescent="0.6">
      <c r="A241" s="62" t="s">
        <v>9</v>
      </c>
      <c r="B241" s="63"/>
      <c r="C241" s="63"/>
      <c r="D241" s="64"/>
    </row>
    <row r="242" spans="1:4" ht="42.75" customHeight="1" thickBot="1" x14ac:dyDescent="0.6">
      <c r="A242" s="65" t="s">
        <v>10</v>
      </c>
      <c r="B242" s="66"/>
      <c r="C242" s="66"/>
      <c r="D242" s="67"/>
    </row>
    <row r="243" spans="1:4" ht="42.75" customHeight="1" thickBot="1" x14ac:dyDescent="0.6">
      <c r="A243" s="68" t="s">
        <v>11</v>
      </c>
      <c r="B243" s="69"/>
      <c r="C243" s="69"/>
      <c r="D243" s="70"/>
    </row>
    <row r="244" spans="1:4" ht="42.75" customHeight="1" thickBot="1" x14ac:dyDescent="0.6">
      <c r="A244" s="71" t="s">
        <v>13</v>
      </c>
      <c r="B244" s="72"/>
      <c r="C244" s="72"/>
      <c r="D244" s="73"/>
    </row>
    <row r="245" spans="1:4" ht="42.75" customHeight="1" thickBot="1" x14ac:dyDescent="0.6">
      <c r="A245" s="10" t="s">
        <v>15</v>
      </c>
      <c r="B245" s="11"/>
      <c r="C245" s="12" t="s">
        <v>14</v>
      </c>
      <c r="D245" s="11"/>
    </row>
    <row r="246" spans="1:4" ht="42.75" customHeight="1" thickBot="1" x14ac:dyDescent="0.6">
      <c r="A246" s="74" t="s">
        <v>17</v>
      </c>
      <c r="B246" s="15" t="s">
        <v>0</v>
      </c>
      <c r="C246" s="16" t="s">
        <v>16</v>
      </c>
      <c r="D246" s="17"/>
    </row>
    <row r="247" spans="1:4" ht="42.75" customHeight="1" thickBot="1" x14ac:dyDescent="0.6">
      <c r="A247" s="15"/>
      <c r="B247" s="15" t="s">
        <v>1</v>
      </c>
      <c r="C247" s="20" t="s">
        <v>18</v>
      </c>
      <c r="D247" s="21" t="s">
        <v>2</v>
      </c>
    </row>
    <row r="248" spans="1:4" ht="42.75" customHeight="1" thickBot="1" x14ac:dyDescent="0.6">
      <c r="A248" s="23">
        <v>1050</v>
      </c>
      <c r="B248" s="24"/>
      <c r="C248" s="25" t="s">
        <v>3</v>
      </c>
      <c r="D248" s="26"/>
    </row>
    <row r="249" spans="1:4" ht="42.75" customHeight="1" thickBot="1" x14ac:dyDescent="0.6">
      <c r="A249" s="23">
        <v>1100</v>
      </c>
      <c r="B249" s="24"/>
      <c r="C249" s="31" t="s">
        <v>4</v>
      </c>
      <c r="D249" s="32"/>
    </row>
    <row r="250" spans="1:4" ht="42.75" customHeight="1" thickBot="1" x14ac:dyDescent="0.7">
      <c r="A250" s="34">
        <f>A249-A248</f>
        <v>50</v>
      </c>
      <c r="B250" s="35"/>
      <c r="C250" s="36" t="s">
        <v>5</v>
      </c>
      <c r="D250" s="32"/>
    </row>
    <row r="251" spans="1:4" ht="42.75" customHeight="1" thickBot="1" x14ac:dyDescent="0.6">
      <c r="A251" s="38">
        <v>60</v>
      </c>
      <c r="B251" s="39"/>
      <c r="C251" s="31" t="s">
        <v>6</v>
      </c>
      <c r="D251" s="32"/>
    </row>
    <row r="252" spans="1:4" ht="42.75" customHeight="1" thickBot="1" x14ac:dyDescent="0.6">
      <c r="A252" s="40"/>
      <c r="B252" s="41"/>
      <c r="C252" s="31" t="s">
        <v>7</v>
      </c>
      <c r="D252" s="32"/>
    </row>
    <row r="253" spans="1:4" ht="42.75" customHeight="1" thickBot="1" x14ac:dyDescent="0.6">
      <c r="A253" s="42">
        <f>A251*A250</f>
        <v>3000</v>
      </c>
      <c r="B253" s="43"/>
      <c r="C253" s="31" t="s">
        <v>8</v>
      </c>
      <c r="D253" s="32"/>
    </row>
    <row r="254" spans="1:4" ht="42.75" customHeight="1" thickBot="1" x14ac:dyDescent="0.6">
      <c r="A254" s="62" t="s">
        <v>9</v>
      </c>
      <c r="B254" s="63"/>
      <c r="C254" s="63"/>
      <c r="D254" s="64"/>
    </row>
    <row r="255" spans="1:4" ht="42.75" customHeight="1" thickBot="1" x14ac:dyDescent="0.6">
      <c r="A255" s="65" t="s">
        <v>10</v>
      </c>
      <c r="B255" s="66"/>
      <c r="C255" s="66"/>
      <c r="D255" s="67"/>
    </row>
    <row r="256" spans="1:4" ht="42.75" customHeight="1" thickBot="1" x14ac:dyDescent="0.6">
      <c r="A256" s="68" t="s">
        <v>11</v>
      </c>
      <c r="B256" s="69"/>
      <c r="C256" s="69"/>
      <c r="D256" s="70"/>
    </row>
    <row r="257" spans="1:4" ht="42.75" customHeight="1" thickBot="1" x14ac:dyDescent="0.6">
      <c r="A257" s="53"/>
      <c r="B257" s="53"/>
      <c r="C257" s="53"/>
      <c r="D257" s="53"/>
    </row>
    <row r="258" spans="1:4" ht="42.75" customHeight="1" thickBot="1" x14ac:dyDescent="0.6">
      <c r="A258" s="71" t="s">
        <v>13</v>
      </c>
      <c r="B258" s="72"/>
      <c r="C258" s="72"/>
      <c r="D258" s="73"/>
    </row>
    <row r="259" spans="1:4" ht="42.75" customHeight="1" thickBot="1" x14ac:dyDescent="0.6">
      <c r="A259" s="10" t="s">
        <v>15</v>
      </c>
      <c r="B259" s="11"/>
      <c r="C259" s="12" t="s">
        <v>14</v>
      </c>
      <c r="D259" s="11"/>
    </row>
    <row r="260" spans="1:4" ht="42.75" customHeight="1" thickBot="1" x14ac:dyDescent="0.6">
      <c r="A260" s="74" t="s">
        <v>17</v>
      </c>
      <c r="B260" s="15" t="s">
        <v>0</v>
      </c>
      <c r="C260" s="16" t="s">
        <v>16</v>
      </c>
      <c r="D260" s="17"/>
    </row>
    <row r="261" spans="1:4" ht="42.75" customHeight="1" thickBot="1" x14ac:dyDescent="0.6">
      <c r="A261" s="15"/>
      <c r="B261" s="15" t="s">
        <v>1</v>
      </c>
      <c r="C261" s="20" t="s">
        <v>18</v>
      </c>
      <c r="D261" s="21" t="s">
        <v>2</v>
      </c>
    </row>
    <row r="262" spans="1:4" ht="42.75" customHeight="1" thickBot="1" x14ac:dyDescent="0.6">
      <c r="A262" s="23">
        <v>1050</v>
      </c>
      <c r="B262" s="24"/>
      <c r="C262" s="25" t="s">
        <v>3</v>
      </c>
      <c r="D262" s="26"/>
    </row>
    <row r="263" spans="1:4" ht="42.75" customHeight="1" thickBot="1" x14ac:dyDescent="0.6">
      <c r="A263" s="23">
        <v>1100</v>
      </c>
      <c r="B263" s="24"/>
      <c r="C263" s="31" t="s">
        <v>4</v>
      </c>
      <c r="D263" s="32"/>
    </row>
    <row r="264" spans="1:4" ht="42.75" customHeight="1" thickBot="1" x14ac:dyDescent="0.7">
      <c r="A264" s="34">
        <f>A263-A262</f>
        <v>50</v>
      </c>
      <c r="B264" s="35"/>
      <c r="C264" s="36" t="s">
        <v>5</v>
      </c>
      <c r="D264" s="32"/>
    </row>
    <row r="265" spans="1:4" ht="42.75" customHeight="1" thickBot="1" x14ac:dyDescent="0.6">
      <c r="A265" s="38">
        <v>60</v>
      </c>
      <c r="B265" s="39"/>
      <c r="C265" s="31" t="s">
        <v>6</v>
      </c>
      <c r="D265" s="32"/>
    </row>
    <row r="266" spans="1:4" ht="42.75" customHeight="1" thickBot="1" x14ac:dyDescent="0.6">
      <c r="A266" s="40"/>
      <c r="B266" s="41"/>
      <c r="C266" s="31" t="s">
        <v>7</v>
      </c>
      <c r="D266" s="32"/>
    </row>
    <row r="267" spans="1:4" ht="42.75" customHeight="1" thickBot="1" x14ac:dyDescent="0.6">
      <c r="A267" s="42">
        <f>A265*A264</f>
        <v>3000</v>
      </c>
      <c r="B267" s="43"/>
      <c r="C267" s="31" t="s">
        <v>8</v>
      </c>
      <c r="D267" s="32"/>
    </row>
    <row r="268" spans="1:4" ht="42.75" customHeight="1" thickBot="1" x14ac:dyDescent="0.6">
      <c r="A268" s="62" t="s">
        <v>9</v>
      </c>
      <c r="B268" s="63"/>
      <c r="C268" s="63"/>
      <c r="D268" s="64"/>
    </row>
    <row r="269" spans="1:4" ht="42.75" customHeight="1" thickBot="1" x14ac:dyDescent="0.6">
      <c r="A269" s="65" t="s">
        <v>10</v>
      </c>
      <c r="B269" s="66"/>
      <c r="C269" s="66"/>
      <c r="D269" s="67"/>
    </row>
    <row r="270" spans="1:4" ht="42.75" customHeight="1" thickBot="1" x14ac:dyDescent="0.6">
      <c r="A270" s="68" t="s">
        <v>11</v>
      </c>
      <c r="B270" s="69"/>
      <c r="C270" s="69"/>
      <c r="D270" s="70"/>
    </row>
    <row r="271" spans="1:4" ht="42.75" customHeight="1" thickBot="1" x14ac:dyDescent="0.6">
      <c r="A271" s="71" t="s">
        <v>13</v>
      </c>
      <c r="B271" s="72"/>
      <c r="C271" s="72"/>
      <c r="D271" s="73"/>
    </row>
    <row r="272" spans="1:4" ht="42.75" customHeight="1" thickBot="1" x14ac:dyDescent="0.6">
      <c r="A272" s="10" t="s">
        <v>15</v>
      </c>
      <c r="B272" s="11"/>
      <c r="C272" s="12" t="s">
        <v>14</v>
      </c>
      <c r="D272" s="11"/>
    </row>
    <row r="273" spans="1:4" ht="42.75" customHeight="1" thickBot="1" x14ac:dyDescent="0.6">
      <c r="A273" s="74" t="s">
        <v>17</v>
      </c>
      <c r="B273" s="15" t="s">
        <v>0</v>
      </c>
      <c r="C273" s="16" t="s">
        <v>16</v>
      </c>
      <c r="D273" s="17"/>
    </row>
    <row r="274" spans="1:4" ht="42.75" customHeight="1" thickBot="1" x14ac:dyDescent="0.6">
      <c r="A274" s="15"/>
      <c r="B274" s="15" t="s">
        <v>1</v>
      </c>
      <c r="C274" s="20" t="s">
        <v>18</v>
      </c>
      <c r="D274" s="21" t="s">
        <v>2</v>
      </c>
    </row>
    <row r="275" spans="1:4" ht="42.75" customHeight="1" thickBot="1" x14ac:dyDescent="0.6">
      <c r="A275" s="23">
        <v>1050</v>
      </c>
      <c r="B275" s="24"/>
      <c r="C275" s="25" t="s">
        <v>3</v>
      </c>
      <c r="D275" s="26"/>
    </row>
    <row r="276" spans="1:4" ht="42.75" customHeight="1" thickBot="1" x14ac:dyDescent="0.6">
      <c r="A276" s="23">
        <v>1100</v>
      </c>
      <c r="B276" s="24"/>
      <c r="C276" s="31" t="s">
        <v>4</v>
      </c>
      <c r="D276" s="32"/>
    </row>
    <row r="277" spans="1:4" ht="42.75" customHeight="1" thickBot="1" x14ac:dyDescent="0.7">
      <c r="A277" s="34">
        <f>A276-A275</f>
        <v>50</v>
      </c>
      <c r="B277" s="35"/>
      <c r="C277" s="36" t="s">
        <v>5</v>
      </c>
      <c r="D277" s="32"/>
    </row>
    <row r="278" spans="1:4" ht="42.75" customHeight="1" thickBot="1" x14ac:dyDescent="0.6">
      <c r="A278" s="38">
        <v>60</v>
      </c>
      <c r="B278" s="39"/>
      <c r="C278" s="31" t="s">
        <v>6</v>
      </c>
      <c r="D278" s="32"/>
    </row>
    <row r="279" spans="1:4" ht="42.75" customHeight="1" thickBot="1" x14ac:dyDescent="0.6">
      <c r="A279" s="40"/>
      <c r="B279" s="41"/>
      <c r="C279" s="31" t="s">
        <v>7</v>
      </c>
      <c r="D279" s="32"/>
    </row>
    <row r="280" spans="1:4" ht="42.75" customHeight="1" thickBot="1" x14ac:dyDescent="0.6">
      <c r="A280" s="42">
        <f>A278*A277</f>
        <v>3000</v>
      </c>
      <c r="B280" s="43"/>
      <c r="C280" s="31" t="s">
        <v>8</v>
      </c>
      <c r="D280" s="32"/>
    </row>
    <row r="281" spans="1:4" ht="42.75" customHeight="1" thickBot="1" x14ac:dyDescent="0.6">
      <c r="A281" s="62" t="s">
        <v>9</v>
      </c>
      <c r="B281" s="63"/>
      <c r="C281" s="63"/>
      <c r="D281" s="64"/>
    </row>
    <row r="282" spans="1:4" ht="42.75" customHeight="1" thickBot="1" x14ac:dyDescent="0.6">
      <c r="A282" s="65" t="s">
        <v>10</v>
      </c>
      <c r="B282" s="66"/>
      <c r="C282" s="66"/>
      <c r="D282" s="67"/>
    </row>
    <row r="283" spans="1:4" ht="42.75" customHeight="1" thickBot="1" x14ac:dyDescent="0.6">
      <c r="A283" s="68" t="s">
        <v>11</v>
      </c>
      <c r="B283" s="69"/>
      <c r="C283" s="69"/>
      <c r="D283" s="70"/>
    </row>
    <row r="284" spans="1:4" ht="42.75" customHeight="1" thickBot="1" x14ac:dyDescent="0.6">
      <c r="A284" s="53"/>
      <c r="B284" s="53"/>
      <c r="C284" s="53"/>
      <c r="D284" s="53"/>
    </row>
    <row r="285" spans="1:4" ht="42.75" customHeight="1" thickBot="1" x14ac:dyDescent="0.6">
      <c r="A285" s="71" t="s">
        <v>13</v>
      </c>
      <c r="B285" s="72"/>
      <c r="C285" s="72"/>
      <c r="D285" s="73"/>
    </row>
    <row r="286" spans="1:4" ht="42.75" customHeight="1" thickBot="1" x14ac:dyDescent="0.6">
      <c r="A286" s="10" t="s">
        <v>15</v>
      </c>
      <c r="B286" s="11"/>
      <c r="C286" s="12" t="s">
        <v>14</v>
      </c>
      <c r="D286" s="11"/>
    </row>
    <row r="287" spans="1:4" ht="42.75" customHeight="1" thickBot="1" x14ac:dyDescent="0.6">
      <c r="A287" s="74" t="s">
        <v>17</v>
      </c>
      <c r="B287" s="15" t="s">
        <v>0</v>
      </c>
      <c r="C287" s="16" t="s">
        <v>16</v>
      </c>
      <c r="D287" s="17"/>
    </row>
    <row r="288" spans="1:4" ht="42.75" customHeight="1" thickBot="1" x14ac:dyDescent="0.6">
      <c r="A288" s="15"/>
      <c r="B288" s="15" t="s">
        <v>1</v>
      </c>
      <c r="C288" s="20" t="s">
        <v>18</v>
      </c>
      <c r="D288" s="21" t="s">
        <v>2</v>
      </c>
    </row>
    <row r="289" spans="1:4" ht="42.75" customHeight="1" thickBot="1" x14ac:dyDescent="0.6">
      <c r="A289" s="23">
        <v>1050</v>
      </c>
      <c r="B289" s="24"/>
      <c r="C289" s="25" t="s">
        <v>3</v>
      </c>
      <c r="D289" s="26"/>
    </row>
    <row r="290" spans="1:4" ht="42.75" customHeight="1" thickBot="1" x14ac:dyDescent="0.6">
      <c r="A290" s="23">
        <v>1100</v>
      </c>
      <c r="B290" s="24"/>
      <c r="C290" s="31" t="s">
        <v>4</v>
      </c>
      <c r="D290" s="32"/>
    </row>
    <row r="291" spans="1:4" ht="42.75" customHeight="1" thickBot="1" x14ac:dyDescent="0.7">
      <c r="A291" s="34">
        <f>A290-A289</f>
        <v>50</v>
      </c>
      <c r="B291" s="35"/>
      <c r="C291" s="36" t="s">
        <v>5</v>
      </c>
      <c r="D291" s="32"/>
    </row>
    <row r="292" spans="1:4" ht="42.75" customHeight="1" thickBot="1" x14ac:dyDescent="0.6">
      <c r="A292" s="38">
        <v>60</v>
      </c>
      <c r="B292" s="39"/>
      <c r="C292" s="31" t="s">
        <v>6</v>
      </c>
      <c r="D292" s="32"/>
    </row>
    <row r="293" spans="1:4" ht="42.75" customHeight="1" thickBot="1" x14ac:dyDescent="0.6">
      <c r="A293" s="40"/>
      <c r="B293" s="41"/>
      <c r="C293" s="31" t="s">
        <v>7</v>
      </c>
      <c r="D293" s="32"/>
    </row>
    <row r="294" spans="1:4" ht="42.75" customHeight="1" thickBot="1" x14ac:dyDescent="0.6">
      <c r="A294" s="42">
        <f>A292*A291</f>
        <v>3000</v>
      </c>
      <c r="B294" s="43"/>
      <c r="C294" s="31" t="s">
        <v>8</v>
      </c>
      <c r="D294" s="32"/>
    </row>
    <row r="295" spans="1:4" ht="42.75" customHeight="1" thickBot="1" x14ac:dyDescent="0.6">
      <c r="A295" s="62" t="s">
        <v>9</v>
      </c>
      <c r="B295" s="63"/>
      <c r="C295" s="63"/>
      <c r="D295" s="64"/>
    </row>
    <row r="296" spans="1:4" ht="42.75" customHeight="1" thickBot="1" x14ac:dyDescent="0.6">
      <c r="A296" s="65" t="s">
        <v>10</v>
      </c>
      <c r="B296" s="66"/>
      <c r="C296" s="66"/>
      <c r="D296" s="67"/>
    </row>
    <row r="297" spans="1:4" ht="42.75" customHeight="1" thickBot="1" x14ac:dyDescent="0.6">
      <c r="A297" s="68" t="s">
        <v>11</v>
      </c>
      <c r="B297" s="69"/>
      <c r="C297" s="69"/>
      <c r="D297" s="70"/>
    </row>
    <row r="298" spans="1:4" ht="42.75" customHeight="1" thickBot="1" x14ac:dyDescent="0.6">
      <c r="A298" s="71" t="s">
        <v>13</v>
      </c>
      <c r="B298" s="72"/>
      <c r="C298" s="72"/>
      <c r="D298" s="73"/>
    </row>
    <row r="299" spans="1:4" ht="42.75" customHeight="1" thickBot="1" x14ac:dyDescent="0.6">
      <c r="A299" s="10" t="s">
        <v>15</v>
      </c>
      <c r="B299" s="11"/>
      <c r="C299" s="12" t="s">
        <v>14</v>
      </c>
      <c r="D299" s="11"/>
    </row>
    <row r="300" spans="1:4" ht="42.75" customHeight="1" thickBot="1" x14ac:dyDescent="0.6">
      <c r="A300" s="74" t="s">
        <v>17</v>
      </c>
      <c r="B300" s="15" t="s">
        <v>0</v>
      </c>
      <c r="C300" s="16" t="s">
        <v>16</v>
      </c>
      <c r="D300" s="17"/>
    </row>
    <row r="301" spans="1:4" ht="42.75" customHeight="1" thickBot="1" x14ac:dyDescent="0.6">
      <c r="A301" s="15"/>
      <c r="B301" s="15" t="s">
        <v>1</v>
      </c>
      <c r="C301" s="20" t="s">
        <v>18</v>
      </c>
      <c r="D301" s="21" t="s">
        <v>2</v>
      </c>
    </row>
    <row r="302" spans="1:4" ht="42.75" customHeight="1" thickBot="1" x14ac:dyDescent="0.6">
      <c r="A302" s="23">
        <v>1050</v>
      </c>
      <c r="B302" s="24"/>
      <c r="C302" s="25" t="s">
        <v>3</v>
      </c>
      <c r="D302" s="26"/>
    </row>
    <row r="303" spans="1:4" ht="42.75" customHeight="1" thickBot="1" x14ac:dyDescent="0.6">
      <c r="A303" s="23">
        <v>1100</v>
      </c>
      <c r="B303" s="24"/>
      <c r="C303" s="31" t="s">
        <v>4</v>
      </c>
      <c r="D303" s="32"/>
    </row>
    <row r="304" spans="1:4" ht="42.75" customHeight="1" thickBot="1" x14ac:dyDescent="0.7">
      <c r="A304" s="34">
        <f>A303-A302</f>
        <v>50</v>
      </c>
      <c r="B304" s="35"/>
      <c r="C304" s="36" t="s">
        <v>5</v>
      </c>
      <c r="D304" s="32"/>
    </row>
    <row r="305" spans="1:4" ht="42.75" customHeight="1" thickBot="1" x14ac:dyDescent="0.6">
      <c r="A305" s="38">
        <v>60</v>
      </c>
      <c r="B305" s="39"/>
      <c r="C305" s="31" t="s">
        <v>6</v>
      </c>
      <c r="D305" s="32"/>
    </row>
    <row r="306" spans="1:4" ht="42.75" customHeight="1" thickBot="1" x14ac:dyDescent="0.6">
      <c r="A306" s="40"/>
      <c r="B306" s="41"/>
      <c r="C306" s="31" t="s">
        <v>7</v>
      </c>
      <c r="D306" s="32"/>
    </row>
    <row r="307" spans="1:4" ht="42.75" customHeight="1" thickBot="1" x14ac:dyDescent="0.6">
      <c r="A307" s="42">
        <f>A305*A304</f>
        <v>3000</v>
      </c>
      <c r="B307" s="43"/>
      <c r="C307" s="31" t="s">
        <v>8</v>
      </c>
      <c r="D307" s="32"/>
    </row>
    <row r="308" spans="1:4" ht="42.75" customHeight="1" thickBot="1" x14ac:dyDescent="0.6">
      <c r="A308" s="62" t="s">
        <v>9</v>
      </c>
      <c r="B308" s="63"/>
      <c r="C308" s="63"/>
      <c r="D308" s="64"/>
    </row>
    <row r="309" spans="1:4" ht="42.75" customHeight="1" thickBot="1" x14ac:dyDescent="0.6">
      <c r="A309" s="65" t="s">
        <v>10</v>
      </c>
      <c r="B309" s="66"/>
      <c r="C309" s="66"/>
      <c r="D309" s="67"/>
    </row>
    <row r="310" spans="1:4" ht="42.75" customHeight="1" thickBot="1" x14ac:dyDescent="0.6">
      <c r="A310" s="68" t="s">
        <v>11</v>
      </c>
      <c r="B310" s="69"/>
      <c r="C310" s="69"/>
      <c r="D310" s="70"/>
    </row>
    <row r="311" spans="1:4" ht="42.75" customHeight="1" thickBot="1" x14ac:dyDescent="0.6">
      <c r="A311" s="53"/>
      <c r="B311" s="53"/>
      <c r="C311" s="53"/>
      <c r="D311" s="53"/>
    </row>
    <row r="312" spans="1:4" ht="42.75" customHeight="1" thickBot="1" x14ac:dyDescent="0.6">
      <c r="A312" s="71" t="s">
        <v>13</v>
      </c>
      <c r="B312" s="72"/>
      <c r="C312" s="72"/>
      <c r="D312" s="73"/>
    </row>
    <row r="313" spans="1:4" ht="42.75" customHeight="1" thickBot="1" x14ac:dyDescent="0.6">
      <c r="A313" s="10" t="s">
        <v>15</v>
      </c>
      <c r="B313" s="11"/>
      <c r="C313" s="12" t="s">
        <v>14</v>
      </c>
      <c r="D313" s="11"/>
    </row>
    <row r="314" spans="1:4" ht="42.75" customHeight="1" thickBot="1" x14ac:dyDescent="0.6">
      <c r="A314" s="74" t="s">
        <v>17</v>
      </c>
      <c r="B314" s="15" t="s">
        <v>0</v>
      </c>
      <c r="C314" s="16" t="s">
        <v>16</v>
      </c>
      <c r="D314" s="17"/>
    </row>
    <row r="315" spans="1:4" ht="42.75" customHeight="1" thickBot="1" x14ac:dyDescent="0.6">
      <c r="A315" s="15"/>
      <c r="B315" s="15" t="s">
        <v>1</v>
      </c>
      <c r="C315" s="20" t="s">
        <v>18</v>
      </c>
      <c r="D315" s="21" t="s">
        <v>2</v>
      </c>
    </row>
    <row r="316" spans="1:4" ht="42.75" customHeight="1" thickBot="1" x14ac:dyDescent="0.6">
      <c r="A316" s="23">
        <v>1050</v>
      </c>
      <c r="B316" s="24"/>
      <c r="C316" s="25" t="s">
        <v>3</v>
      </c>
      <c r="D316" s="26"/>
    </row>
    <row r="317" spans="1:4" ht="42.75" customHeight="1" thickBot="1" x14ac:dyDescent="0.6">
      <c r="A317" s="23">
        <v>1100</v>
      </c>
      <c r="B317" s="24"/>
      <c r="C317" s="31" t="s">
        <v>4</v>
      </c>
      <c r="D317" s="32"/>
    </row>
    <row r="318" spans="1:4" ht="42.75" customHeight="1" thickBot="1" x14ac:dyDescent="0.7">
      <c r="A318" s="34">
        <f>A317-A316</f>
        <v>50</v>
      </c>
      <c r="B318" s="35"/>
      <c r="C318" s="36" t="s">
        <v>5</v>
      </c>
      <c r="D318" s="32"/>
    </row>
    <row r="319" spans="1:4" ht="42.75" customHeight="1" thickBot="1" x14ac:dyDescent="0.6">
      <c r="A319" s="38">
        <v>60</v>
      </c>
      <c r="B319" s="39"/>
      <c r="C319" s="31" t="s">
        <v>6</v>
      </c>
      <c r="D319" s="32"/>
    </row>
    <row r="320" spans="1:4" ht="42.75" customHeight="1" thickBot="1" x14ac:dyDescent="0.6">
      <c r="A320" s="40"/>
      <c r="B320" s="41"/>
      <c r="C320" s="31" t="s">
        <v>7</v>
      </c>
      <c r="D320" s="32"/>
    </row>
    <row r="321" spans="1:4" ht="42.75" customHeight="1" thickBot="1" x14ac:dyDescent="0.6">
      <c r="A321" s="42">
        <f>A319*A318</f>
        <v>3000</v>
      </c>
      <c r="B321" s="43"/>
      <c r="C321" s="31" t="s">
        <v>8</v>
      </c>
      <c r="D321" s="32"/>
    </row>
    <row r="322" spans="1:4" ht="42.75" customHeight="1" thickBot="1" x14ac:dyDescent="0.6">
      <c r="A322" s="62" t="s">
        <v>9</v>
      </c>
      <c r="B322" s="63"/>
      <c r="C322" s="63"/>
      <c r="D322" s="64"/>
    </row>
    <row r="323" spans="1:4" ht="42.75" customHeight="1" thickBot="1" x14ac:dyDescent="0.6">
      <c r="A323" s="65" t="s">
        <v>10</v>
      </c>
      <c r="B323" s="66"/>
      <c r="C323" s="66"/>
      <c r="D323" s="67"/>
    </row>
    <row r="324" spans="1:4" ht="42.75" customHeight="1" thickBot="1" x14ac:dyDescent="0.6">
      <c r="A324" s="68" t="s">
        <v>11</v>
      </c>
      <c r="B324" s="69"/>
      <c r="C324" s="69"/>
      <c r="D324" s="70"/>
    </row>
    <row r="325" spans="1:4" ht="42.75" customHeight="1" thickBot="1" x14ac:dyDescent="0.6">
      <c r="A325" s="71" t="s">
        <v>13</v>
      </c>
      <c r="B325" s="72"/>
      <c r="C325" s="72"/>
      <c r="D325" s="73"/>
    </row>
    <row r="326" spans="1:4" ht="42.75" customHeight="1" thickBot="1" x14ac:dyDescent="0.6">
      <c r="A326" s="10" t="s">
        <v>15</v>
      </c>
      <c r="B326" s="11"/>
      <c r="C326" s="12" t="s">
        <v>14</v>
      </c>
      <c r="D326" s="11"/>
    </row>
    <row r="327" spans="1:4" ht="42.75" customHeight="1" thickBot="1" x14ac:dyDescent="0.6">
      <c r="A327" s="74" t="s">
        <v>17</v>
      </c>
      <c r="B327" s="15" t="s">
        <v>0</v>
      </c>
      <c r="C327" s="16" t="s">
        <v>16</v>
      </c>
      <c r="D327" s="17"/>
    </row>
    <row r="328" spans="1:4" ht="42.75" customHeight="1" thickBot="1" x14ac:dyDescent="0.6">
      <c r="A328" s="15"/>
      <c r="B328" s="15" t="s">
        <v>1</v>
      </c>
      <c r="C328" s="20" t="s">
        <v>18</v>
      </c>
      <c r="D328" s="21" t="s">
        <v>2</v>
      </c>
    </row>
    <row r="329" spans="1:4" ht="42.75" customHeight="1" thickBot="1" x14ac:dyDescent="0.6">
      <c r="A329" s="23">
        <v>1050</v>
      </c>
      <c r="B329" s="24"/>
      <c r="C329" s="25" t="s">
        <v>3</v>
      </c>
      <c r="D329" s="26"/>
    </row>
    <row r="330" spans="1:4" ht="42.75" customHeight="1" thickBot="1" x14ac:dyDescent="0.6">
      <c r="A330" s="23">
        <v>1100</v>
      </c>
      <c r="B330" s="24"/>
      <c r="C330" s="31" t="s">
        <v>4</v>
      </c>
      <c r="D330" s="32"/>
    </row>
    <row r="331" spans="1:4" ht="42.75" customHeight="1" thickBot="1" x14ac:dyDescent="0.7">
      <c r="A331" s="34">
        <f>A330-A329</f>
        <v>50</v>
      </c>
      <c r="B331" s="35"/>
      <c r="C331" s="36" t="s">
        <v>5</v>
      </c>
      <c r="D331" s="32"/>
    </row>
    <row r="332" spans="1:4" ht="42.75" customHeight="1" thickBot="1" x14ac:dyDescent="0.6">
      <c r="A332" s="38">
        <v>60</v>
      </c>
      <c r="B332" s="39"/>
      <c r="C332" s="31" t="s">
        <v>6</v>
      </c>
      <c r="D332" s="32"/>
    </row>
    <row r="333" spans="1:4" ht="42.75" customHeight="1" thickBot="1" x14ac:dyDescent="0.6">
      <c r="A333" s="40"/>
      <c r="B333" s="41"/>
      <c r="C333" s="31" t="s">
        <v>7</v>
      </c>
      <c r="D333" s="32"/>
    </row>
    <row r="334" spans="1:4" ht="42.75" customHeight="1" thickBot="1" x14ac:dyDescent="0.6">
      <c r="A334" s="42">
        <f>A332*A331</f>
        <v>3000</v>
      </c>
      <c r="B334" s="43"/>
      <c r="C334" s="31" t="s">
        <v>8</v>
      </c>
      <c r="D334" s="32"/>
    </row>
    <row r="335" spans="1:4" ht="42.75" customHeight="1" thickBot="1" x14ac:dyDescent="0.6">
      <c r="A335" s="62" t="s">
        <v>9</v>
      </c>
      <c r="B335" s="63"/>
      <c r="C335" s="63"/>
      <c r="D335" s="64"/>
    </row>
    <row r="336" spans="1:4" ht="42.75" customHeight="1" thickBot="1" x14ac:dyDescent="0.6">
      <c r="A336" s="65" t="s">
        <v>10</v>
      </c>
      <c r="B336" s="66"/>
      <c r="C336" s="66"/>
      <c r="D336" s="67"/>
    </row>
    <row r="337" spans="1:4" ht="42.75" customHeight="1" thickBot="1" x14ac:dyDescent="0.6">
      <c r="A337" s="68" t="s">
        <v>11</v>
      </c>
      <c r="B337" s="69"/>
      <c r="C337" s="69"/>
      <c r="D337" s="70"/>
    </row>
    <row r="338" spans="1:4" ht="42.75" customHeight="1" thickBot="1" x14ac:dyDescent="0.6">
      <c r="A338" s="53"/>
      <c r="B338" s="53"/>
      <c r="C338" s="53"/>
      <c r="D338" s="53"/>
    </row>
    <row r="339" spans="1:4" ht="42.75" customHeight="1" thickBot="1" x14ac:dyDescent="0.6">
      <c r="A339" s="71" t="s">
        <v>13</v>
      </c>
      <c r="B339" s="72"/>
      <c r="C339" s="72"/>
      <c r="D339" s="73"/>
    </row>
    <row r="340" spans="1:4" ht="42.75" customHeight="1" thickBot="1" x14ac:dyDescent="0.6">
      <c r="A340" s="10" t="s">
        <v>15</v>
      </c>
      <c r="B340" s="11"/>
      <c r="C340" s="12" t="s">
        <v>14</v>
      </c>
      <c r="D340" s="11"/>
    </row>
    <row r="341" spans="1:4" ht="42.75" customHeight="1" thickBot="1" x14ac:dyDescent="0.6">
      <c r="A341" s="74" t="s">
        <v>17</v>
      </c>
      <c r="B341" s="15" t="s">
        <v>0</v>
      </c>
      <c r="C341" s="16" t="s">
        <v>16</v>
      </c>
      <c r="D341" s="17"/>
    </row>
    <row r="342" spans="1:4" ht="42.75" customHeight="1" thickBot="1" x14ac:dyDescent="0.6">
      <c r="A342" s="15"/>
      <c r="B342" s="15" t="s">
        <v>1</v>
      </c>
      <c r="C342" s="20" t="s">
        <v>18</v>
      </c>
      <c r="D342" s="21" t="s">
        <v>2</v>
      </c>
    </row>
    <row r="343" spans="1:4" ht="42.75" customHeight="1" thickBot="1" x14ac:dyDescent="0.6">
      <c r="A343" s="23">
        <v>1050</v>
      </c>
      <c r="B343" s="24"/>
      <c r="C343" s="25" t="s">
        <v>3</v>
      </c>
      <c r="D343" s="26"/>
    </row>
    <row r="344" spans="1:4" ht="42.75" customHeight="1" thickBot="1" x14ac:dyDescent="0.6">
      <c r="A344" s="23">
        <v>1100</v>
      </c>
      <c r="B344" s="24"/>
      <c r="C344" s="31" t="s">
        <v>4</v>
      </c>
      <c r="D344" s="32"/>
    </row>
    <row r="345" spans="1:4" ht="42.75" customHeight="1" thickBot="1" x14ac:dyDescent="0.7">
      <c r="A345" s="34">
        <f>A344-A343</f>
        <v>50</v>
      </c>
      <c r="B345" s="35"/>
      <c r="C345" s="36" t="s">
        <v>5</v>
      </c>
      <c r="D345" s="32"/>
    </row>
    <row r="346" spans="1:4" ht="42.75" customHeight="1" thickBot="1" x14ac:dyDescent="0.6">
      <c r="A346" s="38">
        <v>60</v>
      </c>
      <c r="B346" s="39"/>
      <c r="C346" s="31" t="s">
        <v>6</v>
      </c>
      <c r="D346" s="32"/>
    </row>
    <row r="347" spans="1:4" ht="42.75" customHeight="1" thickBot="1" x14ac:dyDescent="0.6">
      <c r="A347" s="40"/>
      <c r="B347" s="41"/>
      <c r="C347" s="31" t="s">
        <v>7</v>
      </c>
      <c r="D347" s="32"/>
    </row>
    <row r="348" spans="1:4" ht="42.75" customHeight="1" thickBot="1" x14ac:dyDescent="0.6">
      <c r="A348" s="42">
        <f>A346*A345</f>
        <v>3000</v>
      </c>
      <c r="B348" s="43"/>
      <c r="C348" s="31" t="s">
        <v>8</v>
      </c>
      <c r="D348" s="32"/>
    </row>
    <row r="349" spans="1:4" ht="42.75" customHeight="1" thickBot="1" x14ac:dyDescent="0.6">
      <c r="A349" s="62" t="s">
        <v>9</v>
      </c>
      <c r="B349" s="63"/>
      <c r="C349" s="63"/>
      <c r="D349" s="64"/>
    </row>
    <row r="350" spans="1:4" ht="42.75" customHeight="1" thickBot="1" x14ac:dyDescent="0.6">
      <c r="A350" s="65" t="s">
        <v>10</v>
      </c>
      <c r="B350" s="66"/>
      <c r="C350" s="66"/>
      <c r="D350" s="67"/>
    </row>
    <row r="351" spans="1:4" ht="42.75" customHeight="1" thickBot="1" x14ac:dyDescent="0.6">
      <c r="A351" s="68" t="s">
        <v>11</v>
      </c>
      <c r="B351" s="69"/>
      <c r="C351" s="69"/>
      <c r="D351" s="70"/>
    </row>
    <row r="352" spans="1:4" ht="42.75" customHeight="1" thickBot="1" x14ac:dyDescent="0.6">
      <c r="A352" s="71" t="s">
        <v>13</v>
      </c>
      <c r="B352" s="72"/>
      <c r="C352" s="72"/>
      <c r="D352" s="73"/>
    </row>
    <row r="353" spans="1:4" ht="42.75" customHeight="1" thickBot="1" x14ac:dyDescent="0.6">
      <c r="A353" s="10" t="s">
        <v>15</v>
      </c>
      <c r="B353" s="11"/>
      <c r="C353" s="12" t="s">
        <v>14</v>
      </c>
      <c r="D353" s="11"/>
    </row>
    <row r="354" spans="1:4" ht="42.75" customHeight="1" thickBot="1" x14ac:dyDescent="0.6">
      <c r="A354" s="74" t="s">
        <v>17</v>
      </c>
      <c r="B354" s="15" t="s">
        <v>0</v>
      </c>
      <c r="C354" s="16" t="s">
        <v>16</v>
      </c>
      <c r="D354" s="17"/>
    </row>
    <row r="355" spans="1:4" ht="42.75" customHeight="1" thickBot="1" x14ac:dyDescent="0.6">
      <c r="A355" s="15"/>
      <c r="B355" s="15" t="s">
        <v>1</v>
      </c>
      <c r="C355" s="20" t="s">
        <v>18</v>
      </c>
      <c r="D355" s="21" t="s">
        <v>2</v>
      </c>
    </row>
    <row r="356" spans="1:4" ht="42.75" customHeight="1" thickBot="1" x14ac:dyDescent="0.6">
      <c r="A356" s="23">
        <v>1050</v>
      </c>
      <c r="B356" s="24"/>
      <c r="C356" s="25" t="s">
        <v>3</v>
      </c>
      <c r="D356" s="26"/>
    </row>
    <row r="357" spans="1:4" ht="42.75" customHeight="1" thickBot="1" x14ac:dyDescent="0.6">
      <c r="A357" s="23">
        <v>1100</v>
      </c>
      <c r="B357" s="24"/>
      <c r="C357" s="31" t="s">
        <v>4</v>
      </c>
      <c r="D357" s="32"/>
    </row>
    <row r="358" spans="1:4" ht="42.75" customHeight="1" thickBot="1" x14ac:dyDescent="0.7">
      <c r="A358" s="34">
        <f>A357-A356</f>
        <v>50</v>
      </c>
      <c r="B358" s="35"/>
      <c r="C358" s="36" t="s">
        <v>5</v>
      </c>
      <c r="D358" s="32"/>
    </row>
    <row r="359" spans="1:4" ht="42.75" customHeight="1" thickBot="1" x14ac:dyDescent="0.6">
      <c r="A359" s="38">
        <v>60</v>
      </c>
      <c r="B359" s="39"/>
      <c r="C359" s="31" t="s">
        <v>6</v>
      </c>
      <c r="D359" s="32"/>
    </row>
    <row r="360" spans="1:4" ht="42.75" customHeight="1" thickBot="1" x14ac:dyDescent="0.6">
      <c r="A360" s="40"/>
      <c r="B360" s="41"/>
      <c r="C360" s="31" t="s">
        <v>7</v>
      </c>
      <c r="D360" s="32"/>
    </row>
    <row r="361" spans="1:4" ht="42.75" customHeight="1" thickBot="1" x14ac:dyDescent="0.6">
      <c r="A361" s="42">
        <f>A359*A358</f>
        <v>3000</v>
      </c>
      <c r="B361" s="43"/>
      <c r="C361" s="31" t="s">
        <v>8</v>
      </c>
      <c r="D361" s="32"/>
    </row>
    <row r="362" spans="1:4" ht="42.75" customHeight="1" thickBot="1" x14ac:dyDescent="0.6">
      <c r="A362" s="62" t="s">
        <v>9</v>
      </c>
      <c r="B362" s="63"/>
      <c r="C362" s="63"/>
      <c r="D362" s="64"/>
    </row>
    <row r="363" spans="1:4" ht="42.75" customHeight="1" thickBot="1" x14ac:dyDescent="0.6">
      <c r="A363" s="65" t="s">
        <v>10</v>
      </c>
      <c r="B363" s="66"/>
      <c r="C363" s="66"/>
      <c r="D363" s="67"/>
    </row>
    <row r="364" spans="1:4" ht="42.75" customHeight="1" thickBot="1" x14ac:dyDescent="0.6">
      <c r="A364" s="68" t="s">
        <v>11</v>
      </c>
      <c r="B364" s="69"/>
      <c r="C364" s="69"/>
      <c r="D364" s="70"/>
    </row>
    <row r="365" spans="1:4" ht="42.75" customHeight="1" thickBot="1" x14ac:dyDescent="0.6">
      <c r="A365" s="53"/>
      <c r="B365" s="53"/>
      <c r="C365" s="53"/>
      <c r="D365" s="53"/>
    </row>
    <row r="366" spans="1:4" ht="42.75" customHeight="1" thickBot="1" x14ac:dyDescent="0.6">
      <c r="A366" s="71" t="s">
        <v>13</v>
      </c>
      <c r="B366" s="72"/>
      <c r="C366" s="72"/>
      <c r="D366" s="73"/>
    </row>
    <row r="367" spans="1:4" ht="42.75" customHeight="1" thickBot="1" x14ac:dyDescent="0.6">
      <c r="A367" s="10" t="s">
        <v>15</v>
      </c>
      <c r="B367" s="11"/>
      <c r="C367" s="12" t="s">
        <v>14</v>
      </c>
      <c r="D367" s="11"/>
    </row>
    <row r="368" spans="1:4" ht="42.75" customHeight="1" thickBot="1" x14ac:dyDescent="0.6">
      <c r="A368" s="74" t="s">
        <v>17</v>
      </c>
      <c r="B368" s="15" t="s">
        <v>0</v>
      </c>
      <c r="C368" s="16" t="s">
        <v>16</v>
      </c>
      <c r="D368" s="17"/>
    </row>
    <row r="369" spans="1:4" ht="42.75" customHeight="1" thickBot="1" x14ac:dyDescent="0.6">
      <c r="A369" s="15"/>
      <c r="B369" s="15" t="s">
        <v>1</v>
      </c>
      <c r="C369" s="20" t="s">
        <v>18</v>
      </c>
      <c r="D369" s="21" t="s">
        <v>2</v>
      </c>
    </row>
    <row r="370" spans="1:4" ht="42.75" customHeight="1" thickBot="1" x14ac:dyDescent="0.6">
      <c r="A370" s="23">
        <v>1050</v>
      </c>
      <c r="B370" s="24"/>
      <c r="C370" s="25" t="s">
        <v>3</v>
      </c>
      <c r="D370" s="26"/>
    </row>
    <row r="371" spans="1:4" ht="42.75" customHeight="1" thickBot="1" x14ac:dyDescent="0.6">
      <c r="A371" s="23">
        <v>1100</v>
      </c>
      <c r="B371" s="24"/>
      <c r="C371" s="31" t="s">
        <v>4</v>
      </c>
      <c r="D371" s="32"/>
    </row>
    <row r="372" spans="1:4" ht="42.75" customHeight="1" thickBot="1" x14ac:dyDescent="0.7">
      <c r="A372" s="34">
        <f>A371-A370</f>
        <v>50</v>
      </c>
      <c r="B372" s="35"/>
      <c r="C372" s="36" t="s">
        <v>5</v>
      </c>
      <c r="D372" s="32"/>
    </row>
    <row r="373" spans="1:4" ht="42.75" customHeight="1" thickBot="1" x14ac:dyDescent="0.6">
      <c r="A373" s="38">
        <v>60</v>
      </c>
      <c r="B373" s="39"/>
      <c r="C373" s="31" t="s">
        <v>6</v>
      </c>
      <c r="D373" s="32"/>
    </row>
    <row r="374" spans="1:4" ht="42.75" customHeight="1" thickBot="1" x14ac:dyDescent="0.6">
      <c r="A374" s="40"/>
      <c r="B374" s="41"/>
      <c r="C374" s="31" t="s">
        <v>7</v>
      </c>
      <c r="D374" s="32"/>
    </row>
    <row r="375" spans="1:4" ht="42.75" customHeight="1" thickBot="1" x14ac:dyDescent="0.6">
      <c r="A375" s="42">
        <f>A373*A372</f>
        <v>3000</v>
      </c>
      <c r="B375" s="43"/>
      <c r="C375" s="31" t="s">
        <v>8</v>
      </c>
      <c r="D375" s="32"/>
    </row>
    <row r="376" spans="1:4" ht="42.75" customHeight="1" thickBot="1" x14ac:dyDescent="0.6">
      <c r="A376" s="62" t="s">
        <v>9</v>
      </c>
      <c r="B376" s="63"/>
      <c r="C376" s="63"/>
      <c r="D376" s="64"/>
    </row>
    <row r="377" spans="1:4" ht="42.75" customHeight="1" thickBot="1" x14ac:dyDescent="0.6">
      <c r="A377" s="65" t="s">
        <v>10</v>
      </c>
      <c r="B377" s="66"/>
      <c r="C377" s="66"/>
      <c r="D377" s="67"/>
    </row>
    <row r="378" spans="1:4" ht="42.75" customHeight="1" thickBot="1" x14ac:dyDescent="0.6">
      <c r="A378" s="68" t="s">
        <v>11</v>
      </c>
      <c r="B378" s="69"/>
      <c r="C378" s="69"/>
      <c r="D378" s="70"/>
    </row>
    <row r="379" spans="1:4" ht="42.75" customHeight="1" thickBot="1" x14ac:dyDescent="0.6">
      <c r="A379" s="71" t="s">
        <v>13</v>
      </c>
      <c r="B379" s="72"/>
      <c r="C379" s="72"/>
      <c r="D379" s="73"/>
    </row>
    <row r="380" spans="1:4" ht="42.75" customHeight="1" thickBot="1" x14ac:dyDescent="0.6">
      <c r="A380" s="10" t="s">
        <v>15</v>
      </c>
      <c r="B380" s="11"/>
      <c r="C380" s="12" t="s">
        <v>14</v>
      </c>
      <c r="D380" s="11"/>
    </row>
    <row r="381" spans="1:4" ht="42.75" customHeight="1" thickBot="1" x14ac:dyDescent="0.6">
      <c r="A381" s="74" t="s">
        <v>17</v>
      </c>
      <c r="B381" s="15" t="s">
        <v>0</v>
      </c>
      <c r="C381" s="16" t="s">
        <v>16</v>
      </c>
      <c r="D381" s="17"/>
    </row>
    <row r="382" spans="1:4" ht="42.75" customHeight="1" thickBot="1" x14ac:dyDescent="0.6">
      <c r="A382" s="15"/>
      <c r="B382" s="15" t="s">
        <v>1</v>
      </c>
      <c r="C382" s="20" t="s">
        <v>18</v>
      </c>
      <c r="D382" s="21" t="s">
        <v>2</v>
      </c>
    </row>
    <row r="383" spans="1:4" ht="42.75" customHeight="1" thickBot="1" x14ac:dyDescent="0.6">
      <c r="A383" s="23">
        <v>1050</v>
      </c>
      <c r="B383" s="24"/>
      <c r="C383" s="25" t="s">
        <v>3</v>
      </c>
      <c r="D383" s="26"/>
    </row>
    <row r="384" spans="1:4" ht="42.75" customHeight="1" thickBot="1" x14ac:dyDescent="0.6">
      <c r="A384" s="23">
        <v>1100</v>
      </c>
      <c r="B384" s="24"/>
      <c r="C384" s="31" t="s">
        <v>4</v>
      </c>
      <c r="D384" s="32"/>
    </row>
    <row r="385" spans="1:4" ht="42.75" customHeight="1" thickBot="1" x14ac:dyDescent="0.7">
      <c r="A385" s="34">
        <f>A384-A383</f>
        <v>50</v>
      </c>
      <c r="B385" s="35"/>
      <c r="C385" s="36" t="s">
        <v>5</v>
      </c>
      <c r="D385" s="32"/>
    </row>
    <row r="386" spans="1:4" ht="42.75" customHeight="1" thickBot="1" x14ac:dyDescent="0.6">
      <c r="A386" s="38">
        <v>60</v>
      </c>
      <c r="B386" s="39"/>
      <c r="C386" s="31" t="s">
        <v>6</v>
      </c>
      <c r="D386" s="32"/>
    </row>
    <row r="387" spans="1:4" ht="42.75" customHeight="1" thickBot="1" x14ac:dyDescent="0.6">
      <c r="A387" s="40"/>
      <c r="B387" s="41"/>
      <c r="C387" s="31" t="s">
        <v>7</v>
      </c>
      <c r="D387" s="32"/>
    </row>
    <row r="388" spans="1:4" ht="42.75" customHeight="1" thickBot="1" x14ac:dyDescent="0.6">
      <c r="A388" s="42">
        <f>A386*A385</f>
        <v>3000</v>
      </c>
      <c r="B388" s="43"/>
      <c r="C388" s="31" t="s">
        <v>8</v>
      </c>
      <c r="D388" s="32"/>
    </row>
    <row r="389" spans="1:4" ht="42.75" customHeight="1" thickBot="1" x14ac:dyDescent="0.6">
      <c r="A389" s="62" t="s">
        <v>9</v>
      </c>
      <c r="B389" s="63"/>
      <c r="C389" s="63"/>
      <c r="D389" s="64"/>
    </row>
    <row r="390" spans="1:4" ht="42.75" customHeight="1" thickBot="1" x14ac:dyDescent="0.6">
      <c r="A390" s="65" t="s">
        <v>10</v>
      </c>
      <c r="B390" s="66"/>
      <c r="C390" s="66"/>
      <c r="D390" s="67"/>
    </row>
    <row r="391" spans="1:4" ht="42.75" customHeight="1" thickBot="1" x14ac:dyDescent="0.6">
      <c r="A391" s="68" t="s">
        <v>11</v>
      </c>
      <c r="B391" s="69"/>
      <c r="C391" s="69"/>
      <c r="D391" s="70"/>
    </row>
    <row r="392" spans="1:4" ht="42.75" customHeight="1" thickBot="1" x14ac:dyDescent="0.6">
      <c r="A392" s="53"/>
      <c r="B392" s="53"/>
      <c r="C392" s="53"/>
      <c r="D392" s="53"/>
    </row>
    <row r="393" spans="1:4" ht="42.75" customHeight="1" thickBot="1" x14ac:dyDescent="0.6">
      <c r="A393" s="71" t="s">
        <v>13</v>
      </c>
      <c r="B393" s="72"/>
      <c r="C393" s="72"/>
      <c r="D393" s="73"/>
    </row>
    <row r="394" spans="1:4" ht="42.75" customHeight="1" thickBot="1" x14ac:dyDescent="0.6">
      <c r="A394" s="10" t="s">
        <v>15</v>
      </c>
      <c r="B394" s="11"/>
      <c r="C394" s="12" t="s">
        <v>14</v>
      </c>
      <c r="D394" s="11"/>
    </row>
    <row r="395" spans="1:4" ht="42.75" customHeight="1" thickBot="1" x14ac:dyDescent="0.6">
      <c r="A395" s="74" t="s">
        <v>17</v>
      </c>
      <c r="B395" s="15" t="s">
        <v>0</v>
      </c>
      <c r="C395" s="16" t="s">
        <v>16</v>
      </c>
      <c r="D395" s="17"/>
    </row>
    <row r="396" spans="1:4" ht="42.75" customHeight="1" thickBot="1" x14ac:dyDescent="0.6">
      <c r="A396" s="15"/>
      <c r="B396" s="15" t="s">
        <v>1</v>
      </c>
      <c r="C396" s="20" t="s">
        <v>18</v>
      </c>
      <c r="D396" s="21" t="s">
        <v>2</v>
      </c>
    </row>
    <row r="397" spans="1:4" ht="42.75" customHeight="1" thickBot="1" x14ac:dyDescent="0.6">
      <c r="A397" s="23">
        <v>1050</v>
      </c>
      <c r="B397" s="24"/>
      <c r="C397" s="25" t="s">
        <v>3</v>
      </c>
      <c r="D397" s="26"/>
    </row>
    <row r="398" spans="1:4" ht="42.75" customHeight="1" thickBot="1" x14ac:dyDescent="0.6">
      <c r="A398" s="23">
        <v>1100</v>
      </c>
      <c r="B398" s="24"/>
      <c r="C398" s="31" t="s">
        <v>4</v>
      </c>
      <c r="D398" s="32"/>
    </row>
    <row r="399" spans="1:4" ht="42.75" customHeight="1" thickBot="1" x14ac:dyDescent="0.7">
      <c r="A399" s="34">
        <f>A398-A397</f>
        <v>50</v>
      </c>
      <c r="B399" s="35"/>
      <c r="C399" s="36" t="s">
        <v>5</v>
      </c>
      <c r="D399" s="32"/>
    </row>
    <row r="400" spans="1:4" ht="42.75" customHeight="1" thickBot="1" x14ac:dyDescent="0.6">
      <c r="A400" s="38">
        <v>60</v>
      </c>
      <c r="B400" s="39"/>
      <c r="C400" s="31" t="s">
        <v>6</v>
      </c>
      <c r="D400" s="32"/>
    </row>
    <row r="401" spans="1:4" ht="42.75" customHeight="1" thickBot="1" x14ac:dyDescent="0.6">
      <c r="A401" s="40"/>
      <c r="B401" s="41"/>
      <c r="C401" s="31" t="s">
        <v>7</v>
      </c>
      <c r="D401" s="32"/>
    </row>
    <row r="402" spans="1:4" ht="42.75" customHeight="1" thickBot="1" x14ac:dyDescent="0.6">
      <c r="A402" s="42">
        <f>A400*A399</f>
        <v>3000</v>
      </c>
      <c r="B402" s="43"/>
      <c r="C402" s="31" t="s">
        <v>8</v>
      </c>
      <c r="D402" s="32"/>
    </row>
    <row r="403" spans="1:4" ht="42.75" customHeight="1" thickBot="1" x14ac:dyDescent="0.6">
      <c r="A403" s="62" t="s">
        <v>9</v>
      </c>
      <c r="B403" s="63"/>
      <c r="C403" s="63"/>
      <c r="D403" s="64"/>
    </row>
    <row r="404" spans="1:4" ht="42.75" customHeight="1" thickBot="1" x14ac:dyDescent="0.6">
      <c r="A404" s="65" t="s">
        <v>10</v>
      </c>
      <c r="B404" s="66"/>
      <c r="C404" s="66"/>
      <c r="D404" s="67"/>
    </row>
    <row r="405" spans="1:4" ht="42.75" customHeight="1" thickBot="1" x14ac:dyDescent="0.6">
      <c r="A405" s="68" t="s">
        <v>11</v>
      </c>
      <c r="B405" s="69"/>
      <c r="C405" s="69"/>
      <c r="D405" s="70"/>
    </row>
    <row r="406" spans="1:4" ht="42.75" customHeight="1" thickBot="1" x14ac:dyDescent="0.6">
      <c r="A406" s="1"/>
      <c r="B406" s="2"/>
      <c r="C406" s="2"/>
      <c r="D406" s="3"/>
    </row>
    <row r="407" spans="1:4" ht="42.75" customHeight="1" thickBot="1" x14ac:dyDescent="0.6">
      <c r="A407" s="10"/>
      <c r="B407" s="11"/>
      <c r="C407" s="12"/>
      <c r="D407" s="11"/>
    </row>
    <row r="408" spans="1:4" ht="42.75" customHeight="1" thickBot="1" x14ac:dyDescent="0.6">
      <c r="A408" s="14"/>
      <c r="B408" s="15"/>
      <c r="C408" s="16"/>
      <c r="D408" s="17"/>
    </row>
    <row r="409" spans="1:4" ht="42.75" customHeight="1" thickBot="1" x14ac:dyDescent="0.6">
      <c r="A409" s="15"/>
      <c r="B409" s="15"/>
      <c r="C409" s="20"/>
      <c r="D409" s="21"/>
    </row>
    <row r="410" spans="1:4" ht="42.75" customHeight="1" thickBot="1" x14ac:dyDescent="0.6">
      <c r="A410" s="23"/>
      <c r="B410" s="24"/>
      <c r="C410" s="25"/>
      <c r="D410" s="26"/>
    </row>
    <row r="411" spans="1:4" ht="42.75" customHeight="1" thickBot="1" x14ac:dyDescent="0.6">
      <c r="A411" s="23"/>
      <c r="B411" s="24"/>
      <c r="C411" s="31"/>
      <c r="D411" s="32"/>
    </row>
    <row r="412" spans="1:4" ht="42.75" customHeight="1" thickBot="1" x14ac:dyDescent="0.7">
      <c r="A412" s="34"/>
      <c r="B412" s="35"/>
      <c r="C412" s="36"/>
      <c r="D412" s="32"/>
    </row>
    <row r="413" spans="1:4" ht="42.75" customHeight="1" thickBot="1" x14ac:dyDescent="0.6">
      <c r="A413" s="38"/>
      <c r="B413" s="39"/>
      <c r="C413" s="31"/>
      <c r="D413" s="32"/>
    </row>
    <row r="414" spans="1:4" ht="42.75" customHeight="1" thickBot="1" x14ac:dyDescent="0.6">
      <c r="A414" s="40"/>
      <c r="B414" s="41"/>
      <c r="C414" s="31"/>
      <c r="D414" s="32"/>
    </row>
    <row r="415" spans="1:4" ht="42.75" customHeight="1" thickBot="1" x14ac:dyDescent="0.6">
      <c r="A415" s="42"/>
      <c r="B415" s="43"/>
      <c r="C415" s="31"/>
      <c r="D415" s="32"/>
    </row>
    <row r="416" spans="1:4" ht="42.75" customHeight="1" thickBot="1" x14ac:dyDescent="0.6">
      <c r="A416" s="44"/>
      <c r="B416" s="45"/>
      <c r="C416" s="45"/>
      <c r="D416" s="46"/>
    </row>
    <row r="417" spans="1:4" ht="42.75" customHeight="1" thickBot="1" x14ac:dyDescent="0.6">
      <c r="A417" s="47"/>
      <c r="B417" s="48"/>
      <c r="C417" s="48"/>
      <c r="D417" s="49"/>
    </row>
    <row r="418" spans="1:4" ht="42.75" customHeight="1" thickBot="1" x14ac:dyDescent="0.6">
      <c r="A418" s="50"/>
      <c r="B418" s="51"/>
      <c r="C418" s="51"/>
      <c r="D418" s="52"/>
    </row>
    <row r="419" spans="1:4" ht="42.75" customHeight="1" thickBot="1" x14ac:dyDescent="0.6">
      <c r="A419" s="53"/>
      <c r="B419" s="53"/>
      <c r="C419" s="53"/>
      <c r="D419" s="53"/>
    </row>
    <row r="420" spans="1:4" ht="42.75" customHeight="1" thickBot="1" x14ac:dyDescent="0.6">
      <c r="A420" s="1"/>
      <c r="B420" s="2"/>
      <c r="C420" s="2"/>
      <c r="D420" s="3"/>
    </row>
    <row r="421" spans="1:4" ht="42.75" customHeight="1" thickBot="1" x14ac:dyDescent="0.6">
      <c r="A421" s="10"/>
      <c r="B421" s="11"/>
      <c r="C421" s="12"/>
      <c r="D421" s="11"/>
    </row>
    <row r="422" spans="1:4" ht="42.75" customHeight="1" thickBot="1" x14ac:dyDescent="0.6">
      <c r="A422" s="14"/>
      <c r="B422" s="15"/>
      <c r="C422" s="16"/>
      <c r="D422" s="17"/>
    </row>
    <row r="423" spans="1:4" ht="42.75" customHeight="1" thickBot="1" x14ac:dyDescent="0.6">
      <c r="A423" s="15"/>
      <c r="B423" s="15"/>
      <c r="C423" s="20"/>
      <c r="D423" s="21"/>
    </row>
    <row r="424" spans="1:4" ht="42.75" customHeight="1" thickBot="1" x14ac:dyDescent="0.6">
      <c r="A424" s="23"/>
      <c r="B424" s="24"/>
      <c r="C424" s="25"/>
      <c r="D424" s="26"/>
    </row>
    <row r="425" spans="1:4" ht="42.75" customHeight="1" thickBot="1" x14ac:dyDescent="0.6">
      <c r="A425" s="23"/>
      <c r="B425" s="24"/>
      <c r="C425" s="31"/>
      <c r="D425" s="32"/>
    </row>
    <row r="426" spans="1:4" ht="42.75" customHeight="1" thickBot="1" x14ac:dyDescent="0.7">
      <c r="A426" s="34"/>
      <c r="B426" s="35"/>
      <c r="C426" s="36"/>
      <c r="D426" s="32"/>
    </row>
    <row r="427" spans="1:4" ht="42.75" customHeight="1" thickBot="1" x14ac:dyDescent="0.6">
      <c r="A427" s="38"/>
      <c r="B427" s="39"/>
      <c r="C427" s="31"/>
      <c r="D427" s="32"/>
    </row>
    <row r="428" spans="1:4" ht="42.75" customHeight="1" thickBot="1" x14ac:dyDescent="0.6">
      <c r="A428" s="40"/>
      <c r="B428" s="41"/>
      <c r="C428" s="31"/>
      <c r="D428" s="32"/>
    </row>
    <row r="429" spans="1:4" ht="42.75" customHeight="1" thickBot="1" x14ac:dyDescent="0.6">
      <c r="A429" s="42"/>
      <c r="B429" s="43"/>
      <c r="C429" s="31"/>
      <c r="D429" s="32"/>
    </row>
    <row r="430" spans="1:4" ht="42.75" customHeight="1" thickBot="1" x14ac:dyDescent="0.6">
      <c r="A430" s="44"/>
      <c r="B430" s="45"/>
      <c r="C430" s="45"/>
      <c r="D430" s="46"/>
    </row>
    <row r="431" spans="1:4" ht="42.75" customHeight="1" thickBot="1" x14ac:dyDescent="0.6">
      <c r="A431" s="56"/>
      <c r="B431" s="57"/>
      <c r="C431" s="57"/>
      <c r="D431" s="58"/>
    </row>
    <row r="432" spans="1:4" ht="42.75" customHeight="1" thickBot="1" x14ac:dyDescent="0.6">
      <c r="A432" s="50"/>
      <c r="B432" s="51"/>
      <c r="C432" s="51"/>
      <c r="D432" s="52"/>
    </row>
    <row r="433" spans="1:4" ht="42.75" customHeight="1" thickBot="1" x14ac:dyDescent="0.6">
      <c r="A433" s="1"/>
      <c r="B433" s="2"/>
      <c r="C433" s="2"/>
      <c r="D433" s="3"/>
    </row>
    <row r="434" spans="1:4" ht="42.75" customHeight="1" thickBot="1" x14ac:dyDescent="0.6">
      <c r="A434" s="10"/>
      <c r="B434" s="11"/>
      <c r="C434" s="12"/>
      <c r="D434" s="11"/>
    </row>
    <row r="435" spans="1:4" ht="42.75" customHeight="1" thickBot="1" x14ac:dyDescent="0.6">
      <c r="A435" s="14"/>
      <c r="B435" s="15"/>
      <c r="C435" s="16"/>
      <c r="D435" s="17"/>
    </row>
    <row r="436" spans="1:4" ht="42.75" customHeight="1" thickBot="1" x14ac:dyDescent="0.6">
      <c r="A436" s="15"/>
      <c r="B436" s="15"/>
      <c r="C436" s="20"/>
      <c r="D436" s="21"/>
    </row>
    <row r="437" spans="1:4" ht="42.75" customHeight="1" thickBot="1" x14ac:dyDescent="0.6">
      <c r="A437" s="23"/>
      <c r="B437" s="24"/>
      <c r="C437" s="25"/>
      <c r="D437" s="26"/>
    </row>
    <row r="438" spans="1:4" ht="42.75" customHeight="1" thickBot="1" x14ac:dyDescent="0.6">
      <c r="A438" s="23"/>
      <c r="B438" s="24"/>
      <c r="C438" s="31"/>
      <c r="D438" s="32"/>
    </row>
    <row r="439" spans="1:4" ht="42.75" customHeight="1" thickBot="1" x14ac:dyDescent="0.7">
      <c r="A439" s="34"/>
      <c r="B439" s="35"/>
      <c r="C439" s="36"/>
      <c r="D439" s="32"/>
    </row>
    <row r="440" spans="1:4" ht="42.75" customHeight="1" thickBot="1" x14ac:dyDescent="0.6">
      <c r="A440" s="38"/>
      <c r="B440" s="39"/>
      <c r="C440" s="31"/>
      <c r="D440" s="32"/>
    </row>
    <row r="441" spans="1:4" ht="42.75" customHeight="1" thickBot="1" x14ac:dyDescent="0.6">
      <c r="A441" s="40"/>
      <c r="B441" s="41"/>
      <c r="C441" s="31"/>
      <c r="D441" s="32"/>
    </row>
    <row r="442" spans="1:4" ht="42.75" customHeight="1" thickBot="1" x14ac:dyDescent="0.6">
      <c r="A442" s="42"/>
      <c r="B442" s="43"/>
      <c r="C442" s="31"/>
      <c r="D442" s="32"/>
    </row>
    <row r="443" spans="1:4" ht="42.75" customHeight="1" thickBot="1" x14ac:dyDescent="0.6">
      <c r="A443" s="44"/>
      <c r="B443" s="45"/>
      <c r="C443" s="45"/>
      <c r="D443" s="46"/>
    </row>
    <row r="444" spans="1:4" ht="42.75" customHeight="1" thickBot="1" x14ac:dyDescent="0.6">
      <c r="A444" s="47"/>
      <c r="B444" s="48"/>
      <c r="C444" s="48"/>
      <c r="D444" s="49"/>
    </row>
    <row r="445" spans="1:4" ht="42.75" customHeight="1" thickBot="1" x14ac:dyDescent="0.6">
      <c r="A445" s="50"/>
      <c r="B445" s="51"/>
      <c r="C445" s="51"/>
      <c r="D445" s="52"/>
    </row>
    <row r="446" spans="1:4" ht="42.75" customHeight="1" thickBot="1" x14ac:dyDescent="0.6">
      <c r="A446" s="53"/>
      <c r="B446" s="53"/>
      <c r="C446" s="53"/>
      <c r="D446" s="53"/>
    </row>
    <row r="447" spans="1:4" ht="42.75" customHeight="1" thickBot="1" x14ac:dyDescent="0.6">
      <c r="A447" s="1"/>
      <c r="B447" s="2"/>
      <c r="C447" s="2"/>
      <c r="D447" s="3"/>
    </row>
    <row r="448" spans="1:4" ht="42.75" customHeight="1" thickBot="1" x14ac:dyDescent="0.6">
      <c r="A448" s="10"/>
      <c r="B448" s="11"/>
      <c r="C448" s="12"/>
      <c r="D448" s="11"/>
    </row>
    <row r="449" spans="1:4" ht="42.75" customHeight="1" thickBot="1" x14ac:dyDescent="0.6">
      <c r="A449" s="14"/>
      <c r="B449" s="15"/>
      <c r="C449" s="16"/>
      <c r="D449" s="17"/>
    </row>
    <row r="450" spans="1:4" ht="42.75" customHeight="1" thickBot="1" x14ac:dyDescent="0.6">
      <c r="A450" s="15"/>
      <c r="B450" s="15"/>
      <c r="C450" s="20"/>
      <c r="D450" s="21"/>
    </row>
    <row r="451" spans="1:4" ht="42.75" customHeight="1" thickBot="1" x14ac:dyDescent="0.6">
      <c r="A451" s="23"/>
      <c r="B451" s="24"/>
      <c r="C451" s="25"/>
      <c r="D451" s="26"/>
    </row>
    <row r="452" spans="1:4" ht="42.75" customHeight="1" thickBot="1" x14ac:dyDescent="0.6">
      <c r="A452" s="23"/>
      <c r="B452" s="24"/>
      <c r="C452" s="31"/>
      <c r="D452" s="32"/>
    </row>
    <row r="453" spans="1:4" ht="42.75" customHeight="1" thickBot="1" x14ac:dyDescent="0.7">
      <c r="A453" s="34"/>
      <c r="B453" s="35"/>
      <c r="C453" s="36"/>
      <c r="D453" s="32"/>
    </row>
    <row r="454" spans="1:4" ht="42.75" customHeight="1" thickBot="1" x14ac:dyDescent="0.6">
      <c r="A454" s="38"/>
      <c r="B454" s="39"/>
      <c r="C454" s="31"/>
      <c r="D454" s="32"/>
    </row>
    <row r="455" spans="1:4" ht="42.75" customHeight="1" thickBot="1" x14ac:dyDescent="0.6">
      <c r="A455" s="40"/>
      <c r="B455" s="41"/>
      <c r="C455" s="31"/>
      <c r="D455" s="32"/>
    </row>
    <row r="456" spans="1:4" ht="42.75" customHeight="1" thickBot="1" x14ac:dyDescent="0.6">
      <c r="A456" s="42"/>
      <c r="B456" s="43"/>
      <c r="C456" s="31"/>
      <c r="D456" s="32"/>
    </row>
    <row r="457" spans="1:4" ht="42.75" customHeight="1" thickBot="1" x14ac:dyDescent="0.6">
      <c r="A457" s="44"/>
      <c r="B457" s="45"/>
      <c r="C457" s="45"/>
      <c r="D457" s="46"/>
    </row>
    <row r="458" spans="1:4" ht="42.75" customHeight="1" thickBot="1" x14ac:dyDescent="0.6">
      <c r="A458" s="56"/>
      <c r="B458" s="57"/>
      <c r="C458" s="57"/>
      <c r="D458" s="58"/>
    </row>
    <row r="459" spans="1:4" ht="42.75" customHeight="1" thickBot="1" x14ac:dyDescent="0.6">
      <c r="A459" s="50"/>
      <c r="B459" s="51"/>
      <c r="C459" s="51"/>
      <c r="D459" s="52"/>
    </row>
    <row r="460" spans="1:4" ht="42.75" customHeight="1" thickBot="1" x14ac:dyDescent="0.6">
      <c r="A460" s="1"/>
      <c r="B460" s="2"/>
      <c r="C460" s="2"/>
      <c r="D460" s="3"/>
    </row>
    <row r="461" spans="1:4" ht="42.75" customHeight="1" thickBot="1" x14ac:dyDescent="0.6">
      <c r="A461" s="10"/>
      <c r="B461" s="11"/>
      <c r="C461" s="12"/>
      <c r="D461" s="11"/>
    </row>
    <row r="462" spans="1:4" ht="42.75" customHeight="1" thickBot="1" x14ac:dyDescent="0.6">
      <c r="A462" s="14"/>
      <c r="B462" s="15"/>
      <c r="C462" s="16"/>
      <c r="D462" s="17"/>
    </row>
    <row r="463" spans="1:4" ht="42.75" customHeight="1" thickBot="1" x14ac:dyDescent="0.6">
      <c r="A463" s="15"/>
      <c r="B463" s="15"/>
      <c r="C463" s="20"/>
      <c r="D463" s="21"/>
    </row>
    <row r="464" spans="1:4" ht="42.75" customHeight="1" thickBot="1" x14ac:dyDescent="0.6">
      <c r="A464" s="23"/>
      <c r="B464" s="24"/>
      <c r="C464" s="25"/>
      <c r="D464" s="26"/>
    </row>
    <row r="465" spans="1:4" ht="42.75" customHeight="1" thickBot="1" x14ac:dyDescent="0.6">
      <c r="A465" s="23"/>
      <c r="B465" s="24"/>
      <c r="C465" s="31"/>
      <c r="D465" s="32"/>
    </row>
    <row r="466" spans="1:4" ht="42.75" customHeight="1" thickBot="1" x14ac:dyDescent="0.7">
      <c r="A466" s="34"/>
      <c r="B466" s="35"/>
      <c r="C466" s="36"/>
      <c r="D466" s="32"/>
    </row>
    <row r="467" spans="1:4" ht="42.75" customHeight="1" thickBot="1" x14ac:dyDescent="0.6">
      <c r="A467" s="38"/>
      <c r="B467" s="39"/>
      <c r="C467" s="31"/>
      <c r="D467" s="32"/>
    </row>
    <row r="468" spans="1:4" ht="42.75" customHeight="1" thickBot="1" x14ac:dyDescent="0.6">
      <c r="A468" s="40"/>
      <c r="B468" s="41"/>
      <c r="C468" s="31"/>
      <c r="D468" s="32"/>
    </row>
    <row r="469" spans="1:4" ht="42.75" customHeight="1" thickBot="1" x14ac:dyDescent="0.6">
      <c r="A469" s="42"/>
      <c r="B469" s="43"/>
      <c r="C469" s="31"/>
      <c r="D469" s="32"/>
    </row>
    <row r="470" spans="1:4" ht="42.75" customHeight="1" thickBot="1" x14ac:dyDescent="0.6">
      <c r="A470" s="44"/>
      <c r="B470" s="45"/>
      <c r="C470" s="45"/>
      <c r="D470" s="46"/>
    </row>
    <row r="471" spans="1:4" ht="42.75" customHeight="1" thickBot="1" x14ac:dyDescent="0.6">
      <c r="A471" s="47"/>
      <c r="B471" s="48"/>
      <c r="C471" s="48"/>
      <c r="D471" s="49"/>
    </row>
    <row r="472" spans="1:4" ht="42.75" customHeight="1" thickBot="1" x14ac:dyDescent="0.6">
      <c r="A472" s="50"/>
      <c r="B472" s="51"/>
      <c r="C472" s="51"/>
      <c r="D472" s="52"/>
    </row>
    <row r="473" spans="1:4" ht="42.75" customHeight="1" thickBot="1" x14ac:dyDescent="0.6">
      <c r="A473" s="53"/>
      <c r="B473" s="53"/>
      <c r="C473" s="53"/>
      <c r="D473" s="53"/>
    </row>
    <row r="474" spans="1:4" ht="42.75" customHeight="1" thickBot="1" x14ac:dyDescent="0.6">
      <c r="A474" s="1"/>
      <c r="B474" s="2"/>
      <c r="C474" s="2"/>
      <c r="D474" s="3"/>
    </row>
    <row r="475" spans="1:4" ht="42.75" customHeight="1" thickBot="1" x14ac:dyDescent="0.6">
      <c r="A475" s="10"/>
      <c r="B475" s="11"/>
      <c r="C475" s="12"/>
      <c r="D475" s="11"/>
    </row>
    <row r="476" spans="1:4" ht="42.75" customHeight="1" thickBot="1" x14ac:dyDescent="0.6">
      <c r="A476" s="14"/>
      <c r="B476" s="15"/>
      <c r="C476" s="16"/>
      <c r="D476" s="17"/>
    </row>
    <row r="477" spans="1:4" ht="42.75" customHeight="1" thickBot="1" x14ac:dyDescent="0.6">
      <c r="A477" s="15"/>
      <c r="B477" s="15"/>
      <c r="C477" s="20"/>
      <c r="D477" s="21"/>
    </row>
    <row r="478" spans="1:4" ht="42.75" customHeight="1" thickBot="1" x14ac:dyDescent="0.6">
      <c r="A478" s="23"/>
      <c r="B478" s="24"/>
      <c r="C478" s="25"/>
      <c r="D478" s="26"/>
    </row>
    <row r="479" spans="1:4" ht="42.75" customHeight="1" thickBot="1" x14ac:dyDescent="0.6">
      <c r="A479" s="23"/>
      <c r="B479" s="24"/>
      <c r="C479" s="31"/>
      <c r="D479" s="32"/>
    </row>
    <row r="480" spans="1:4" ht="42.75" customHeight="1" thickBot="1" x14ac:dyDescent="0.7">
      <c r="A480" s="34"/>
      <c r="B480" s="35"/>
      <c r="C480" s="36"/>
      <c r="D480" s="32"/>
    </row>
    <row r="481" spans="1:4" ht="42.75" customHeight="1" thickBot="1" x14ac:dyDescent="0.6">
      <c r="A481" s="38"/>
      <c r="B481" s="39"/>
      <c r="C481" s="31"/>
      <c r="D481" s="32"/>
    </row>
    <row r="482" spans="1:4" ht="42.75" customHeight="1" thickBot="1" x14ac:dyDescent="0.6">
      <c r="A482" s="40"/>
      <c r="B482" s="41"/>
      <c r="C482" s="31"/>
      <c r="D482" s="32"/>
    </row>
    <row r="483" spans="1:4" ht="42.75" customHeight="1" thickBot="1" x14ac:dyDescent="0.6">
      <c r="A483" s="42"/>
      <c r="B483" s="43"/>
      <c r="C483" s="31"/>
      <c r="D483" s="32"/>
    </row>
    <row r="484" spans="1:4" ht="42.75" customHeight="1" thickBot="1" x14ac:dyDescent="0.6">
      <c r="A484" s="44"/>
      <c r="B484" s="45"/>
      <c r="C484" s="45"/>
      <c r="D484" s="46"/>
    </row>
    <row r="485" spans="1:4" ht="42.75" customHeight="1" thickBot="1" x14ac:dyDescent="0.6">
      <c r="A485" s="56"/>
      <c r="B485" s="57"/>
      <c r="C485" s="57"/>
      <c r="D485" s="58"/>
    </row>
    <row r="486" spans="1:4" ht="42.75" customHeight="1" thickBot="1" x14ac:dyDescent="0.6">
      <c r="A486" s="50"/>
      <c r="B486" s="51"/>
      <c r="C486" s="51"/>
      <c r="D486" s="52"/>
    </row>
    <row r="487" spans="1:4" ht="42.75" customHeight="1" thickBot="1" x14ac:dyDescent="0.6">
      <c r="A487" s="1"/>
      <c r="B487" s="2"/>
      <c r="C487" s="2"/>
      <c r="D487" s="3"/>
    </row>
    <row r="488" spans="1:4" ht="42.75" customHeight="1" thickBot="1" x14ac:dyDescent="0.6">
      <c r="A488" s="10"/>
      <c r="B488" s="11"/>
      <c r="C488" s="12"/>
      <c r="D488" s="11"/>
    </row>
    <row r="489" spans="1:4" ht="42.75" customHeight="1" thickBot="1" x14ac:dyDescent="0.6">
      <c r="A489" s="14"/>
      <c r="B489" s="15"/>
      <c r="C489" s="16"/>
      <c r="D489" s="17"/>
    </row>
    <row r="490" spans="1:4" ht="42.75" customHeight="1" thickBot="1" x14ac:dyDescent="0.6">
      <c r="A490" s="15"/>
      <c r="B490" s="15"/>
      <c r="C490" s="20"/>
      <c r="D490" s="21"/>
    </row>
    <row r="491" spans="1:4" ht="42.75" customHeight="1" thickBot="1" x14ac:dyDescent="0.6">
      <c r="A491" s="23"/>
      <c r="B491" s="24"/>
      <c r="C491" s="25"/>
      <c r="D491" s="26"/>
    </row>
    <row r="492" spans="1:4" ht="42.75" customHeight="1" thickBot="1" x14ac:dyDescent="0.6">
      <c r="A492" s="23"/>
      <c r="B492" s="24"/>
      <c r="C492" s="31"/>
      <c r="D492" s="32"/>
    </row>
    <row r="493" spans="1:4" ht="42.75" customHeight="1" thickBot="1" x14ac:dyDescent="0.7">
      <c r="A493" s="34"/>
      <c r="B493" s="35"/>
      <c r="C493" s="36"/>
      <c r="D493" s="32"/>
    </row>
    <row r="494" spans="1:4" ht="42.75" customHeight="1" thickBot="1" x14ac:dyDescent="0.6">
      <c r="A494" s="38"/>
      <c r="B494" s="39"/>
      <c r="C494" s="31"/>
      <c r="D494" s="32"/>
    </row>
    <row r="495" spans="1:4" ht="42.75" customHeight="1" thickBot="1" x14ac:dyDescent="0.6">
      <c r="A495" s="40"/>
      <c r="B495" s="41"/>
      <c r="C495" s="31"/>
      <c r="D495" s="32"/>
    </row>
    <row r="496" spans="1:4" ht="42.75" customHeight="1" thickBot="1" x14ac:dyDescent="0.6">
      <c r="A496" s="42"/>
      <c r="B496" s="43"/>
      <c r="C496" s="31"/>
      <c r="D496" s="32"/>
    </row>
    <row r="497" spans="1:4" ht="42.75" customHeight="1" thickBot="1" x14ac:dyDescent="0.6">
      <c r="A497" s="44"/>
      <c r="B497" s="45"/>
      <c r="C497" s="45"/>
      <c r="D497" s="46"/>
    </row>
    <row r="498" spans="1:4" ht="42.75" customHeight="1" thickBot="1" x14ac:dyDescent="0.6">
      <c r="A498" s="47"/>
      <c r="B498" s="48"/>
      <c r="C498" s="48"/>
      <c r="D498" s="49"/>
    </row>
    <row r="499" spans="1:4" ht="42.75" customHeight="1" thickBot="1" x14ac:dyDescent="0.6">
      <c r="A499" s="50"/>
      <c r="B499" s="51"/>
      <c r="C499" s="51"/>
      <c r="D499" s="52"/>
    </row>
    <row r="500" spans="1:4" ht="42.75" customHeight="1" thickBot="1" x14ac:dyDescent="0.6">
      <c r="A500" s="53"/>
      <c r="B500" s="53"/>
      <c r="C500" s="53"/>
      <c r="D500" s="53"/>
    </row>
    <row r="501" spans="1:4" ht="42.75" customHeight="1" thickBot="1" x14ac:dyDescent="0.6">
      <c r="A501" s="1"/>
      <c r="B501" s="2"/>
      <c r="C501" s="2"/>
      <c r="D501" s="3"/>
    </row>
    <row r="502" spans="1:4" ht="42.75" customHeight="1" thickBot="1" x14ac:dyDescent="0.6">
      <c r="A502" s="10"/>
      <c r="B502" s="11"/>
      <c r="C502" s="12"/>
      <c r="D502" s="11"/>
    </row>
    <row r="503" spans="1:4" ht="42.75" customHeight="1" thickBot="1" x14ac:dyDescent="0.6">
      <c r="A503" s="14"/>
      <c r="B503" s="15"/>
      <c r="C503" s="16"/>
      <c r="D503" s="17"/>
    </row>
    <row r="504" spans="1:4" ht="42.75" customHeight="1" thickBot="1" x14ac:dyDescent="0.6">
      <c r="A504" s="15"/>
      <c r="B504" s="15"/>
      <c r="C504" s="20"/>
      <c r="D504" s="21"/>
    </row>
    <row r="505" spans="1:4" ht="42.75" customHeight="1" thickBot="1" x14ac:dyDescent="0.6">
      <c r="A505" s="23"/>
      <c r="B505" s="24"/>
      <c r="C505" s="25"/>
      <c r="D505" s="26"/>
    </row>
    <row r="506" spans="1:4" ht="42.75" customHeight="1" thickBot="1" x14ac:dyDescent="0.6">
      <c r="A506" s="23"/>
      <c r="B506" s="24"/>
      <c r="C506" s="31"/>
      <c r="D506" s="32"/>
    </row>
    <row r="507" spans="1:4" ht="42.75" customHeight="1" thickBot="1" x14ac:dyDescent="0.7">
      <c r="A507" s="34"/>
      <c r="B507" s="35"/>
      <c r="C507" s="36"/>
      <c r="D507" s="32"/>
    </row>
    <row r="508" spans="1:4" ht="42.75" customHeight="1" thickBot="1" x14ac:dyDescent="0.6">
      <c r="A508" s="38"/>
      <c r="B508" s="39"/>
      <c r="C508" s="31"/>
      <c r="D508" s="32"/>
    </row>
    <row r="509" spans="1:4" ht="42.75" customHeight="1" thickBot="1" x14ac:dyDescent="0.6">
      <c r="A509" s="40"/>
      <c r="B509" s="41"/>
      <c r="C509" s="31"/>
      <c r="D509" s="32"/>
    </row>
    <row r="510" spans="1:4" ht="42.75" customHeight="1" thickBot="1" x14ac:dyDescent="0.6">
      <c r="A510" s="42"/>
      <c r="B510" s="43"/>
      <c r="C510" s="31"/>
      <c r="D510" s="32"/>
    </row>
    <row r="511" spans="1:4" ht="42.75" customHeight="1" thickBot="1" x14ac:dyDescent="0.6">
      <c r="A511" s="44"/>
      <c r="B511" s="45"/>
      <c r="C511" s="45"/>
      <c r="D511" s="46"/>
    </row>
    <row r="512" spans="1:4" ht="42.75" customHeight="1" thickBot="1" x14ac:dyDescent="0.6">
      <c r="A512" s="56"/>
      <c r="B512" s="57"/>
      <c r="C512" s="57"/>
      <c r="D512" s="58"/>
    </row>
    <row r="513" spans="1:4" ht="42.75" customHeight="1" thickBot="1" x14ac:dyDescent="0.6">
      <c r="A513" s="50"/>
      <c r="B513" s="51"/>
      <c r="C513" s="51"/>
      <c r="D513" s="52"/>
    </row>
    <row r="514" spans="1:4" ht="42.75" customHeight="1" thickBot="1" x14ac:dyDescent="0.6">
      <c r="A514" s="1"/>
      <c r="B514" s="2"/>
      <c r="C514" s="2"/>
      <c r="D514" s="3"/>
    </row>
    <row r="515" spans="1:4" ht="42.75" customHeight="1" thickBot="1" x14ac:dyDescent="0.6">
      <c r="A515" s="10"/>
      <c r="B515" s="11"/>
      <c r="C515" s="12"/>
      <c r="D515" s="11"/>
    </row>
    <row r="516" spans="1:4" ht="42.75" customHeight="1" thickBot="1" x14ac:dyDescent="0.6">
      <c r="A516" s="14"/>
      <c r="B516" s="15"/>
      <c r="C516" s="16"/>
      <c r="D516" s="17"/>
    </row>
    <row r="517" spans="1:4" ht="42.75" customHeight="1" thickBot="1" x14ac:dyDescent="0.6">
      <c r="A517" s="15"/>
      <c r="B517" s="15"/>
      <c r="C517" s="20"/>
      <c r="D517" s="21"/>
    </row>
    <row r="518" spans="1:4" ht="42.75" customHeight="1" thickBot="1" x14ac:dyDescent="0.6">
      <c r="A518" s="23"/>
      <c r="B518" s="24"/>
      <c r="C518" s="25"/>
      <c r="D518" s="26"/>
    </row>
    <row r="519" spans="1:4" ht="42.75" customHeight="1" thickBot="1" x14ac:dyDescent="0.6">
      <c r="A519" s="23"/>
      <c r="B519" s="24"/>
      <c r="C519" s="31"/>
      <c r="D519" s="32"/>
    </row>
    <row r="520" spans="1:4" ht="42.75" customHeight="1" thickBot="1" x14ac:dyDescent="0.7">
      <c r="A520" s="34"/>
      <c r="B520" s="35"/>
      <c r="C520" s="36"/>
      <c r="D520" s="32"/>
    </row>
    <row r="521" spans="1:4" ht="42.75" customHeight="1" thickBot="1" x14ac:dyDescent="0.6">
      <c r="A521" s="38"/>
      <c r="B521" s="39"/>
      <c r="C521" s="31"/>
      <c r="D521" s="32"/>
    </row>
    <row r="522" spans="1:4" ht="42.75" customHeight="1" thickBot="1" x14ac:dyDescent="0.6">
      <c r="A522" s="40"/>
      <c r="B522" s="41"/>
      <c r="C522" s="31"/>
      <c r="D522" s="32"/>
    </row>
    <row r="523" spans="1:4" ht="42.75" customHeight="1" thickBot="1" x14ac:dyDescent="0.6">
      <c r="A523" s="42"/>
      <c r="B523" s="43"/>
      <c r="C523" s="31"/>
      <c r="D523" s="32"/>
    </row>
    <row r="524" spans="1:4" ht="42.75" customHeight="1" thickBot="1" x14ac:dyDescent="0.6">
      <c r="A524" s="44"/>
      <c r="B524" s="45"/>
      <c r="C524" s="45"/>
      <c r="D524" s="46"/>
    </row>
    <row r="525" spans="1:4" ht="42.75" customHeight="1" thickBot="1" x14ac:dyDescent="0.6">
      <c r="A525" s="47"/>
      <c r="B525" s="48"/>
      <c r="C525" s="48"/>
      <c r="D525" s="49"/>
    </row>
    <row r="526" spans="1:4" ht="42.75" customHeight="1" thickBot="1" x14ac:dyDescent="0.6">
      <c r="A526" s="50"/>
      <c r="B526" s="51"/>
      <c r="C526" s="51"/>
      <c r="D526" s="52"/>
    </row>
    <row r="527" spans="1:4" ht="42.75" customHeight="1" thickBot="1" x14ac:dyDescent="0.6">
      <c r="A527" s="53"/>
      <c r="B527" s="53"/>
      <c r="C527" s="53"/>
      <c r="D527" s="53"/>
    </row>
    <row r="528" spans="1:4" ht="42.75" customHeight="1" thickBot="1" x14ac:dyDescent="0.6">
      <c r="A528" s="1"/>
      <c r="B528" s="2"/>
      <c r="C528" s="2"/>
      <c r="D528" s="3"/>
    </row>
    <row r="529" spans="1:4" ht="42.75" customHeight="1" thickBot="1" x14ac:dyDescent="0.6">
      <c r="A529" s="10"/>
      <c r="B529" s="11"/>
      <c r="C529" s="12"/>
      <c r="D529" s="11"/>
    </row>
    <row r="530" spans="1:4" ht="42.75" customHeight="1" thickBot="1" x14ac:dyDescent="0.6">
      <c r="A530" s="14"/>
      <c r="B530" s="15"/>
      <c r="C530" s="16"/>
      <c r="D530" s="17"/>
    </row>
    <row r="531" spans="1:4" ht="42.75" customHeight="1" thickBot="1" x14ac:dyDescent="0.6">
      <c r="A531" s="15"/>
      <c r="B531" s="15"/>
      <c r="C531" s="20"/>
      <c r="D531" s="21"/>
    </row>
    <row r="532" spans="1:4" ht="42.75" customHeight="1" thickBot="1" x14ac:dyDescent="0.6">
      <c r="A532" s="23"/>
      <c r="B532" s="24"/>
      <c r="C532" s="25"/>
      <c r="D532" s="26"/>
    </row>
    <row r="533" spans="1:4" ht="42.75" customHeight="1" thickBot="1" x14ac:dyDescent="0.6">
      <c r="A533" s="23"/>
      <c r="B533" s="24"/>
      <c r="C533" s="31"/>
      <c r="D533" s="32"/>
    </row>
    <row r="534" spans="1:4" ht="42.75" customHeight="1" thickBot="1" x14ac:dyDescent="0.7">
      <c r="A534" s="34"/>
      <c r="B534" s="35"/>
      <c r="C534" s="36"/>
      <c r="D534" s="32"/>
    </row>
    <row r="535" spans="1:4" ht="42.75" customHeight="1" thickBot="1" x14ac:dyDescent="0.6">
      <c r="A535" s="38"/>
      <c r="B535" s="39"/>
      <c r="C535" s="31"/>
      <c r="D535" s="32"/>
    </row>
    <row r="536" spans="1:4" ht="42.75" customHeight="1" thickBot="1" x14ac:dyDescent="0.6">
      <c r="A536" s="40"/>
      <c r="B536" s="41"/>
      <c r="C536" s="31"/>
      <c r="D536" s="32"/>
    </row>
    <row r="537" spans="1:4" ht="42.75" customHeight="1" thickBot="1" x14ac:dyDescent="0.6">
      <c r="A537" s="42"/>
      <c r="B537" s="43"/>
      <c r="C537" s="31"/>
      <c r="D537" s="32"/>
    </row>
    <row r="538" spans="1:4" ht="42.75" customHeight="1" thickBot="1" x14ac:dyDescent="0.6">
      <c r="A538" s="44"/>
      <c r="B538" s="45"/>
      <c r="C538" s="45"/>
      <c r="D538" s="46"/>
    </row>
    <row r="539" spans="1:4" ht="42.75" customHeight="1" thickBot="1" x14ac:dyDescent="0.6">
      <c r="A539" s="56"/>
      <c r="B539" s="57"/>
      <c r="C539" s="57"/>
      <c r="D539" s="58"/>
    </row>
    <row r="540" spans="1:4" ht="42.75" customHeight="1" thickBot="1" x14ac:dyDescent="0.6">
      <c r="A540" s="50"/>
      <c r="B540" s="51"/>
      <c r="C540" s="51"/>
      <c r="D540" s="52"/>
    </row>
    <row r="541" spans="1:4" ht="42.75" customHeight="1" thickBot="1" x14ac:dyDescent="0.6">
      <c r="A541" s="1"/>
      <c r="B541" s="2"/>
      <c r="C541" s="2"/>
      <c r="D541" s="3"/>
    </row>
    <row r="542" spans="1:4" ht="42.75" customHeight="1" thickBot="1" x14ac:dyDescent="0.6">
      <c r="A542" s="10"/>
      <c r="B542" s="11"/>
      <c r="C542" s="12"/>
      <c r="D542" s="11"/>
    </row>
    <row r="543" spans="1:4" ht="42.75" customHeight="1" thickBot="1" x14ac:dyDescent="0.6">
      <c r="A543" s="14"/>
      <c r="B543" s="15"/>
      <c r="C543" s="16"/>
      <c r="D543" s="17"/>
    </row>
    <row r="544" spans="1:4" ht="42.75" customHeight="1" thickBot="1" x14ac:dyDescent="0.6">
      <c r="A544" s="15"/>
      <c r="B544" s="15"/>
      <c r="C544" s="20"/>
      <c r="D544" s="21"/>
    </row>
    <row r="545" spans="1:4" ht="42.75" customHeight="1" thickBot="1" x14ac:dyDescent="0.6">
      <c r="A545" s="23"/>
      <c r="B545" s="24"/>
      <c r="C545" s="25"/>
      <c r="D545" s="26"/>
    </row>
    <row r="546" spans="1:4" ht="42.75" customHeight="1" thickBot="1" x14ac:dyDescent="0.6">
      <c r="A546" s="23"/>
      <c r="B546" s="24"/>
      <c r="C546" s="31"/>
      <c r="D546" s="32"/>
    </row>
    <row r="547" spans="1:4" ht="42.75" customHeight="1" thickBot="1" x14ac:dyDescent="0.7">
      <c r="A547" s="34"/>
      <c r="B547" s="35"/>
      <c r="C547" s="36"/>
      <c r="D547" s="32"/>
    </row>
    <row r="548" spans="1:4" ht="42.75" customHeight="1" thickBot="1" x14ac:dyDescent="0.6">
      <c r="A548" s="38"/>
      <c r="B548" s="39"/>
      <c r="C548" s="31"/>
      <c r="D548" s="32"/>
    </row>
    <row r="549" spans="1:4" ht="42.75" customHeight="1" thickBot="1" x14ac:dyDescent="0.6">
      <c r="A549" s="40"/>
      <c r="B549" s="41"/>
      <c r="C549" s="31"/>
      <c r="D549" s="32"/>
    </row>
    <row r="550" spans="1:4" ht="42.75" customHeight="1" thickBot="1" x14ac:dyDescent="0.6">
      <c r="A550" s="42"/>
      <c r="B550" s="43"/>
      <c r="C550" s="31"/>
      <c r="D550" s="32"/>
    </row>
    <row r="551" spans="1:4" ht="42.75" customHeight="1" thickBot="1" x14ac:dyDescent="0.6">
      <c r="A551" s="44"/>
      <c r="B551" s="45"/>
      <c r="C551" s="45"/>
      <c r="D551" s="46"/>
    </row>
    <row r="552" spans="1:4" ht="42.75" customHeight="1" thickBot="1" x14ac:dyDescent="0.6">
      <c r="A552" s="47"/>
      <c r="B552" s="48"/>
      <c r="C552" s="48"/>
      <c r="D552" s="49"/>
    </row>
    <row r="553" spans="1:4" ht="42.75" customHeight="1" thickBot="1" x14ac:dyDescent="0.6">
      <c r="A553" s="50"/>
      <c r="B553" s="51"/>
      <c r="C553" s="51"/>
      <c r="D553" s="52"/>
    </row>
    <row r="554" spans="1:4" ht="42.75" customHeight="1" thickBot="1" x14ac:dyDescent="0.6">
      <c r="A554" s="53"/>
      <c r="B554" s="53"/>
      <c r="C554" s="53"/>
      <c r="D554" s="53"/>
    </row>
    <row r="555" spans="1:4" ht="42.75" customHeight="1" thickBot="1" x14ac:dyDescent="0.6">
      <c r="A555" s="1"/>
      <c r="B555" s="2"/>
      <c r="C555" s="2"/>
      <c r="D555" s="3"/>
    </row>
    <row r="556" spans="1:4" ht="42.75" customHeight="1" thickBot="1" x14ac:dyDescent="0.6">
      <c r="A556" s="10"/>
      <c r="B556" s="11"/>
      <c r="C556" s="12"/>
      <c r="D556" s="11"/>
    </row>
    <row r="557" spans="1:4" ht="42.75" customHeight="1" thickBot="1" x14ac:dyDescent="0.6">
      <c r="A557" s="14"/>
      <c r="B557" s="15"/>
      <c r="C557" s="16"/>
      <c r="D557" s="17"/>
    </row>
    <row r="558" spans="1:4" ht="42.75" customHeight="1" thickBot="1" x14ac:dyDescent="0.6">
      <c r="A558" s="15"/>
      <c r="B558" s="15"/>
      <c r="C558" s="20"/>
      <c r="D558" s="21"/>
    </row>
    <row r="559" spans="1:4" ht="42.75" customHeight="1" thickBot="1" x14ac:dyDescent="0.6">
      <c r="A559" s="23"/>
      <c r="B559" s="24"/>
      <c r="C559" s="25"/>
      <c r="D559" s="26"/>
    </row>
    <row r="560" spans="1:4" ht="42.75" customHeight="1" thickBot="1" x14ac:dyDescent="0.6">
      <c r="A560" s="23"/>
      <c r="B560" s="24"/>
      <c r="C560" s="31"/>
      <c r="D560" s="32"/>
    </row>
    <row r="561" spans="1:4" ht="42.75" customHeight="1" thickBot="1" x14ac:dyDescent="0.7">
      <c r="A561" s="34"/>
      <c r="B561" s="35"/>
      <c r="C561" s="36"/>
      <c r="D561" s="32"/>
    </row>
    <row r="562" spans="1:4" ht="42.75" customHeight="1" thickBot="1" x14ac:dyDescent="0.6">
      <c r="A562" s="38"/>
      <c r="B562" s="39"/>
      <c r="C562" s="31"/>
      <c r="D562" s="32"/>
    </row>
    <row r="563" spans="1:4" ht="42.75" customHeight="1" thickBot="1" x14ac:dyDescent="0.6">
      <c r="A563" s="40"/>
      <c r="B563" s="41"/>
      <c r="C563" s="31"/>
      <c r="D563" s="32"/>
    </row>
    <row r="564" spans="1:4" ht="42.75" customHeight="1" thickBot="1" x14ac:dyDescent="0.6">
      <c r="A564" s="42"/>
      <c r="B564" s="43"/>
      <c r="C564" s="31"/>
      <c r="D564" s="32"/>
    </row>
    <row r="565" spans="1:4" ht="42.75" customHeight="1" thickBot="1" x14ac:dyDescent="0.6">
      <c r="A565" s="44"/>
      <c r="B565" s="45"/>
      <c r="C565" s="45"/>
      <c r="D565" s="46"/>
    </row>
    <row r="566" spans="1:4" ht="42.75" customHeight="1" thickBot="1" x14ac:dyDescent="0.6">
      <c r="A566" s="56"/>
      <c r="B566" s="57"/>
      <c r="C566" s="57"/>
      <c r="D566" s="58"/>
    </row>
    <row r="567" spans="1:4" ht="42.75" customHeight="1" thickBot="1" x14ac:dyDescent="0.6">
      <c r="A567" s="50"/>
      <c r="B567" s="51"/>
      <c r="C567" s="51"/>
      <c r="D567" s="52"/>
    </row>
    <row r="568" spans="1:4" ht="42.75" customHeight="1" thickBot="1" x14ac:dyDescent="0.6">
      <c r="A568" s="1"/>
      <c r="B568" s="2"/>
      <c r="C568" s="2"/>
      <c r="D568" s="3"/>
    </row>
    <row r="569" spans="1:4" ht="42.75" customHeight="1" thickBot="1" x14ac:dyDescent="0.6">
      <c r="A569" s="10"/>
      <c r="B569" s="11"/>
      <c r="C569" s="12"/>
      <c r="D569" s="11"/>
    </row>
    <row r="570" spans="1:4" ht="42.75" customHeight="1" thickBot="1" x14ac:dyDescent="0.6">
      <c r="A570" s="14"/>
      <c r="B570" s="15"/>
      <c r="C570" s="16"/>
      <c r="D570" s="17"/>
    </row>
    <row r="571" spans="1:4" ht="42.75" customHeight="1" thickBot="1" x14ac:dyDescent="0.6">
      <c r="A571" s="15"/>
      <c r="B571" s="15"/>
      <c r="C571" s="20"/>
      <c r="D571" s="21"/>
    </row>
    <row r="572" spans="1:4" ht="42.75" customHeight="1" thickBot="1" x14ac:dyDescent="0.6">
      <c r="A572" s="23"/>
      <c r="B572" s="24"/>
      <c r="C572" s="25"/>
      <c r="D572" s="26"/>
    </row>
    <row r="573" spans="1:4" ht="42.75" customHeight="1" thickBot="1" x14ac:dyDescent="0.6">
      <c r="A573" s="23"/>
      <c r="B573" s="24"/>
      <c r="C573" s="31"/>
      <c r="D573" s="32"/>
    </row>
    <row r="574" spans="1:4" ht="42.75" customHeight="1" thickBot="1" x14ac:dyDescent="0.7">
      <c r="A574" s="34"/>
      <c r="B574" s="35"/>
      <c r="C574" s="36"/>
      <c r="D574" s="32"/>
    </row>
    <row r="575" spans="1:4" ht="42.75" customHeight="1" thickBot="1" x14ac:dyDescent="0.6">
      <c r="A575" s="38"/>
      <c r="B575" s="39"/>
      <c r="C575" s="31"/>
      <c r="D575" s="32"/>
    </row>
    <row r="576" spans="1:4" ht="42.75" customHeight="1" thickBot="1" x14ac:dyDescent="0.6">
      <c r="A576" s="40"/>
      <c r="B576" s="41"/>
      <c r="C576" s="31"/>
      <c r="D576" s="32"/>
    </row>
    <row r="577" spans="1:4" ht="42.75" customHeight="1" thickBot="1" x14ac:dyDescent="0.6">
      <c r="A577" s="42"/>
      <c r="B577" s="43"/>
      <c r="C577" s="31"/>
      <c r="D577" s="32"/>
    </row>
    <row r="578" spans="1:4" ht="42.75" customHeight="1" thickBot="1" x14ac:dyDescent="0.6">
      <c r="A578" s="44"/>
      <c r="B578" s="45"/>
      <c r="C578" s="45"/>
      <c r="D578" s="46"/>
    </row>
    <row r="579" spans="1:4" ht="42.75" customHeight="1" thickBot="1" x14ac:dyDescent="0.6">
      <c r="A579" s="47"/>
      <c r="B579" s="48"/>
      <c r="C579" s="48"/>
      <c r="D579" s="49"/>
    </row>
    <row r="580" spans="1:4" ht="42.75" customHeight="1" thickBot="1" x14ac:dyDescent="0.6">
      <c r="A580" s="50"/>
      <c r="B580" s="51"/>
      <c r="C580" s="51"/>
      <c r="D580" s="52"/>
    </row>
    <row r="581" spans="1:4" ht="42.75" customHeight="1" thickBot="1" x14ac:dyDescent="0.6">
      <c r="A581" s="53"/>
      <c r="B581" s="53"/>
      <c r="C581" s="53"/>
      <c r="D581" s="53"/>
    </row>
    <row r="582" spans="1:4" ht="42.75" customHeight="1" thickBot="1" x14ac:dyDescent="0.6">
      <c r="A582" s="1"/>
      <c r="B582" s="2"/>
      <c r="C582" s="2"/>
      <c r="D582" s="3"/>
    </row>
    <row r="583" spans="1:4" ht="42.75" customHeight="1" thickBot="1" x14ac:dyDescent="0.6">
      <c r="A583" s="10"/>
      <c r="B583" s="11"/>
      <c r="C583" s="12"/>
      <c r="D583" s="11"/>
    </row>
    <row r="584" spans="1:4" ht="42.75" customHeight="1" thickBot="1" x14ac:dyDescent="0.6">
      <c r="A584" s="14"/>
      <c r="B584" s="15"/>
      <c r="C584" s="16"/>
      <c r="D584" s="17"/>
    </row>
    <row r="585" spans="1:4" ht="42.75" customHeight="1" thickBot="1" x14ac:dyDescent="0.6">
      <c r="A585" s="15"/>
      <c r="B585" s="15"/>
      <c r="C585" s="20"/>
      <c r="D585" s="21"/>
    </row>
    <row r="586" spans="1:4" ht="42.75" customHeight="1" thickBot="1" x14ac:dyDescent="0.6">
      <c r="A586" s="23"/>
      <c r="B586" s="24"/>
      <c r="C586" s="25"/>
      <c r="D586" s="26"/>
    </row>
    <row r="587" spans="1:4" ht="42.75" customHeight="1" thickBot="1" x14ac:dyDescent="0.6">
      <c r="A587" s="23"/>
      <c r="B587" s="24"/>
      <c r="C587" s="31"/>
      <c r="D587" s="32"/>
    </row>
    <row r="588" spans="1:4" ht="42.75" customHeight="1" thickBot="1" x14ac:dyDescent="0.7">
      <c r="A588" s="34"/>
      <c r="B588" s="35"/>
      <c r="C588" s="36"/>
      <c r="D588" s="32"/>
    </row>
    <row r="589" spans="1:4" ht="42.75" customHeight="1" thickBot="1" x14ac:dyDescent="0.6">
      <c r="A589" s="38"/>
      <c r="B589" s="39"/>
      <c r="C589" s="31"/>
      <c r="D589" s="32"/>
    </row>
    <row r="590" spans="1:4" ht="42.75" customHeight="1" thickBot="1" x14ac:dyDescent="0.6">
      <c r="A590" s="40"/>
      <c r="B590" s="41"/>
      <c r="C590" s="31"/>
      <c r="D590" s="32"/>
    </row>
    <row r="591" spans="1:4" ht="42.75" customHeight="1" thickBot="1" x14ac:dyDescent="0.6">
      <c r="A591" s="42"/>
      <c r="B591" s="43"/>
      <c r="C591" s="31"/>
      <c r="D591" s="32"/>
    </row>
    <row r="592" spans="1:4" ht="42.75" customHeight="1" thickBot="1" x14ac:dyDescent="0.6">
      <c r="A592" s="44"/>
      <c r="B592" s="45"/>
      <c r="C592" s="45"/>
      <c r="D592" s="46"/>
    </row>
    <row r="593" spans="1:4" ht="42.75" customHeight="1" thickBot="1" x14ac:dyDescent="0.6">
      <c r="A593" s="56"/>
      <c r="B593" s="57"/>
      <c r="C593" s="57"/>
      <c r="D593" s="58"/>
    </row>
    <row r="594" spans="1:4" ht="42.75" customHeight="1" thickBot="1" x14ac:dyDescent="0.6">
      <c r="A594" s="50"/>
      <c r="B594" s="51"/>
      <c r="C594" s="51"/>
      <c r="D594" s="52"/>
    </row>
    <row r="595" spans="1:4" ht="42.75" customHeight="1" thickBot="1" x14ac:dyDescent="0.6">
      <c r="A595" s="1"/>
      <c r="B595" s="2"/>
      <c r="C595" s="2"/>
      <c r="D595" s="3"/>
    </row>
    <row r="596" spans="1:4" ht="42.75" customHeight="1" thickBot="1" x14ac:dyDescent="0.6">
      <c r="A596" s="10"/>
      <c r="B596" s="11"/>
      <c r="C596" s="12"/>
      <c r="D596" s="11"/>
    </row>
    <row r="597" spans="1:4" ht="42.75" customHeight="1" thickBot="1" x14ac:dyDescent="0.6">
      <c r="A597" s="14"/>
      <c r="B597" s="15"/>
      <c r="C597" s="16"/>
      <c r="D597" s="17"/>
    </row>
    <row r="598" spans="1:4" ht="42.75" customHeight="1" thickBot="1" x14ac:dyDescent="0.6">
      <c r="A598" s="15"/>
      <c r="B598" s="15"/>
      <c r="C598" s="20"/>
      <c r="D598" s="21"/>
    </row>
    <row r="599" spans="1:4" ht="42.75" customHeight="1" thickBot="1" x14ac:dyDescent="0.6">
      <c r="A599" s="23"/>
      <c r="B599" s="24"/>
      <c r="C599" s="25"/>
      <c r="D599" s="26"/>
    </row>
    <row r="600" spans="1:4" ht="42.75" customHeight="1" thickBot="1" x14ac:dyDescent="0.6">
      <c r="A600" s="23"/>
      <c r="B600" s="24"/>
      <c r="C600" s="31"/>
      <c r="D600" s="32"/>
    </row>
    <row r="601" spans="1:4" ht="42.75" customHeight="1" thickBot="1" x14ac:dyDescent="0.7">
      <c r="A601" s="34"/>
      <c r="B601" s="35"/>
      <c r="C601" s="36"/>
      <c r="D601" s="32"/>
    </row>
    <row r="602" spans="1:4" ht="42.75" customHeight="1" thickBot="1" x14ac:dyDescent="0.6">
      <c r="A602" s="38"/>
      <c r="B602" s="39"/>
      <c r="C602" s="31"/>
      <c r="D602" s="32"/>
    </row>
    <row r="603" spans="1:4" ht="42.75" customHeight="1" thickBot="1" x14ac:dyDescent="0.6">
      <c r="A603" s="40"/>
      <c r="B603" s="41"/>
      <c r="C603" s="31"/>
      <c r="D603" s="32"/>
    </row>
    <row r="604" spans="1:4" ht="42.75" customHeight="1" thickBot="1" x14ac:dyDescent="0.6">
      <c r="A604" s="42"/>
      <c r="B604" s="43"/>
      <c r="C604" s="31"/>
      <c r="D604" s="32"/>
    </row>
    <row r="605" spans="1:4" ht="42.75" customHeight="1" thickBot="1" x14ac:dyDescent="0.6">
      <c r="A605" s="44"/>
      <c r="B605" s="45"/>
      <c r="C605" s="45"/>
      <c r="D605" s="46"/>
    </row>
    <row r="606" spans="1:4" ht="42.75" customHeight="1" thickBot="1" x14ac:dyDescent="0.6">
      <c r="A606" s="47"/>
      <c r="B606" s="48"/>
      <c r="C606" s="48"/>
      <c r="D606" s="49"/>
    </row>
    <row r="607" spans="1:4" ht="42.75" customHeight="1" thickBot="1" x14ac:dyDescent="0.6">
      <c r="A607" s="50"/>
      <c r="B607" s="51"/>
      <c r="C607" s="51"/>
      <c r="D607" s="52"/>
    </row>
    <row r="608" spans="1:4" ht="42.75" customHeight="1" thickBot="1" x14ac:dyDescent="0.6">
      <c r="A608" s="53"/>
      <c r="B608" s="53"/>
      <c r="C608" s="53"/>
      <c r="D608" s="53"/>
    </row>
    <row r="609" spans="1:4" ht="42.75" customHeight="1" thickBot="1" x14ac:dyDescent="0.6">
      <c r="A609" s="1"/>
      <c r="B609" s="2"/>
      <c r="C609" s="2"/>
      <c r="D609" s="3"/>
    </row>
    <row r="610" spans="1:4" ht="42.75" customHeight="1" thickBot="1" x14ac:dyDescent="0.6">
      <c r="A610" s="10"/>
      <c r="B610" s="11"/>
      <c r="C610" s="12"/>
      <c r="D610" s="11"/>
    </row>
    <row r="611" spans="1:4" ht="42.75" customHeight="1" thickBot="1" x14ac:dyDescent="0.6">
      <c r="A611" s="14"/>
      <c r="B611" s="15"/>
      <c r="C611" s="16"/>
      <c r="D611" s="17"/>
    </row>
    <row r="612" spans="1:4" ht="42.75" customHeight="1" thickBot="1" x14ac:dyDescent="0.6">
      <c r="A612" s="15"/>
      <c r="B612" s="15"/>
      <c r="C612" s="20"/>
      <c r="D612" s="21"/>
    </row>
    <row r="613" spans="1:4" ht="42.75" customHeight="1" thickBot="1" x14ac:dyDescent="0.6">
      <c r="A613" s="23"/>
      <c r="B613" s="24"/>
      <c r="C613" s="25"/>
      <c r="D613" s="26"/>
    </row>
    <row r="614" spans="1:4" ht="42.75" customHeight="1" thickBot="1" x14ac:dyDescent="0.6">
      <c r="A614" s="23"/>
      <c r="B614" s="24"/>
      <c r="C614" s="31"/>
      <c r="D614" s="32"/>
    </row>
    <row r="615" spans="1:4" ht="42.75" customHeight="1" thickBot="1" x14ac:dyDescent="0.7">
      <c r="A615" s="34"/>
      <c r="B615" s="35"/>
      <c r="C615" s="36"/>
      <c r="D615" s="32"/>
    </row>
    <row r="616" spans="1:4" ht="42.75" customHeight="1" thickBot="1" x14ac:dyDescent="0.6">
      <c r="A616" s="38"/>
      <c r="B616" s="39"/>
      <c r="C616" s="31"/>
      <c r="D616" s="32"/>
    </row>
    <row r="617" spans="1:4" ht="42.75" customHeight="1" thickBot="1" x14ac:dyDescent="0.6">
      <c r="A617" s="40"/>
      <c r="B617" s="41"/>
      <c r="C617" s="31"/>
      <c r="D617" s="32"/>
    </row>
    <row r="618" spans="1:4" ht="42.75" customHeight="1" thickBot="1" x14ac:dyDescent="0.6">
      <c r="A618" s="42"/>
      <c r="B618" s="43"/>
      <c r="C618" s="31"/>
      <c r="D618" s="32"/>
    </row>
    <row r="619" spans="1:4" ht="42.75" customHeight="1" thickBot="1" x14ac:dyDescent="0.6">
      <c r="A619" s="44"/>
      <c r="B619" s="45"/>
      <c r="C619" s="45"/>
      <c r="D619" s="46"/>
    </row>
    <row r="620" spans="1:4" ht="42.75" customHeight="1" thickBot="1" x14ac:dyDescent="0.6">
      <c r="A620" s="56"/>
      <c r="B620" s="57"/>
      <c r="C620" s="57"/>
      <c r="D620" s="58"/>
    </row>
    <row r="621" spans="1:4" ht="42.75" customHeight="1" thickBot="1" x14ac:dyDescent="0.6">
      <c r="A621" s="50"/>
      <c r="B621" s="51"/>
      <c r="C621" s="51"/>
      <c r="D621" s="52"/>
    </row>
    <row r="622" spans="1:4" ht="42.75" customHeight="1" thickBot="1" x14ac:dyDescent="0.6">
      <c r="A622" s="1"/>
      <c r="B622" s="2"/>
      <c r="C622" s="2"/>
      <c r="D622" s="3"/>
    </row>
    <row r="623" spans="1:4" ht="42.75" customHeight="1" thickBot="1" x14ac:dyDescent="0.6">
      <c r="A623" s="10"/>
      <c r="B623" s="11"/>
      <c r="C623" s="12"/>
      <c r="D623" s="11"/>
    </row>
    <row r="624" spans="1:4" ht="42.75" customHeight="1" thickBot="1" x14ac:dyDescent="0.6">
      <c r="A624" s="14"/>
      <c r="B624" s="15"/>
      <c r="C624" s="16"/>
      <c r="D624" s="17"/>
    </row>
    <row r="625" spans="1:4" ht="42.75" customHeight="1" thickBot="1" x14ac:dyDescent="0.6">
      <c r="A625" s="15"/>
      <c r="B625" s="15"/>
      <c r="C625" s="20"/>
      <c r="D625" s="21"/>
    </row>
    <row r="626" spans="1:4" ht="42.75" customHeight="1" thickBot="1" x14ac:dyDescent="0.6">
      <c r="A626" s="23"/>
      <c r="B626" s="24"/>
      <c r="C626" s="25"/>
      <c r="D626" s="26"/>
    </row>
    <row r="627" spans="1:4" ht="42.75" customHeight="1" thickBot="1" x14ac:dyDescent="0.6">
      <c r="A627" s="23"/>
      <c r="B627" s="24"/>
      <c r="C627" s="31"/>
      <c r="D627" s="32"/>
    </row>
    <row r="628" spans="1:4" ht="42.75" customHeight="1" thickBot="1" x14ac:dyDescent="0.7">
      <c r="A628" s="34"/>
      <c r="B628" s="35"/>
      <c r="C628" s="36"/>
      <c r="D628" s="32"/>
    </row>
    <row r="629" spans="1:4" ht="42.75" customHeight="1" thickBot="1" x14ac:dyDescent="0.6">
      <c r="A629" s="38"/>
      <c r="B629" s="39"/>
      <c r="C629" s="31"/>
      <c r="D629" s="32"/>
    </row>
    <row r="630" spans="1:4" ht="42.75" customHeight="1" thickBot="1" x14ac:dyDescent="0.6">
      <c r="A630" s="40"/>
      <c r="B630" s="41"/>
      <c r="C630" s="31"/>
      <c r="D630" s="32"/>
    </row>
    <row r="631" spans="1:4" ht="42.75" customHeight="1" thickBot="1" x14ac:dyDescent="0.6">
      <c r="A631" s="42"/>
      <c r="B631" s="43"/>
      <c r="C631" s="31"/>
      <c r="D631" s="32"/>
    </row>
    <row r="632" spans="1:4" ht="42.75" customHeight="1" thickBot="1" x14ac:dyDescent="0.6">
      <c r="A632" s="44"/>
      <c r="B632" s="45"/>
      <c r="C632" s="45"/>
      <c r="D632" s="46"/>
    </row>
    <row r="633" spans="1:4" ht="42.75" customHeight="1" thickBot="1" x14ac:dyDescent="0.6">
      <c r="A633" s="47"/>
      <c r="B633" s="48"/>
      <c r="C633" s="48"/>
      <c r="D633" s="49"/>
    </row>
    <row r="634" spans="1:4" ht="42.75" customHeight="1" thickBot="1" x14ac:dyDescent="0.6">
      <c r="A634" s="50"/>
      <c r="B634" s="51"/>
      <c r="C634" s="51"/>
      <c r="D634" s="52"/>
    </row>
    <row r="635" spans="1:4" ht="42.75" customHeight="1" thickBot="1" x14ac:dyDescent="0.6">
      <c r="A635" s="53"/>
      <c r="B635" s="53"/>
      <c r="C635" s="53"/>
      <c r="D635" s="53"/>
    </row>
    <row r="636" spans="1:4" ht="42.75" customHeight="1" thickBot="1" x14ac:dyDescent="0.6">
      <c r="A636" s="1"/>
      <c r="B636" s="2"/>
      <c r="C636" s="2"/>
      <c r="D636" s="3"/>
    </row>
    <row r="637" spans="1:4" ht="42.75" customHeight="1" thickBot="1" x14ac:dyDescent="0.6">
      <c r="A637" s="10"/>
      <c r="B637" s="11"/>
      <c r="C637" s="12"/>
      <c r="D637" s="11"/>
    </row>
    <row r="638" spans="1:4" ht="42.75" customHeight="1" thickBot="1" x14ac:dyDescent="0.6">
      <c r="A638" s="14"/>
      <c r="B638" s="15"/>
      <c r="C638" s="16"/>
      <c r="D638" s="17"/>
    </row>
    <row r="639" spans="1:4" ht="42.75" customHeight="1" thickBot="1" x14ac:dyDescent="0.6">
      <c r="A639" s="15"/>
      <c r="B639" s="15"/>
      <c r="C639" s="20"/>
      <c r="D639" s="21"/>
    </row>
    <row r="640" spans="1:4" ht="42.75" customHeight="1" thickBot="1" x14ac:dyDescent="0.6">
      <c r="A640" s="23"/>
      <c r="B640" s="24"/>
      <c r="C640" s="25"/>
      <c r="D640" s="26"/>
    </row>
    <row r="641" spans="1:4" ht="42.75" customHeight="1" thickBot="1" x14ac:dyDescent="0.6">
      <c r="A641" s="23"/>
      <c r="B641" s="24"/>
      <c r="C641" s="31"/>
      <c r="D641" s="32"/>
    </row>
    <row r="642" spans="1:4" ht="42.75" customHeight="1" thickBot="1" x14ac:dyDescent="0.7">
      <c r="A642" s="34"/>
      <c r="B642" s="35"/>
      <c r="C642" s="36"/>
      <c r="D642" s="32"/>
    </row>
    <row r="643" spans="1:4" ht="42.75" customHeight="1" thickBot="1" x14ac:dyDescent="0.6">
      <c r="A643" s="38"/>
      <c r="B643" s="39"/>
      <c r="C643" s="31"/>
      <c r="D643" s="32"/>
    </row>
    <row r="644" spans="1:4" ht="42.75" customHeight="1" thickBot="1" x14ac:dyDescent="0.6">
      <c r="A644" s="40"/>
      <c r="B644" s="41"/>
      <c r="C644" s="31"/>
      <c r="D644" s="32"/>
    </row>
    <row r="645" spans="1:4" ht="42.75" customHeight="1" thickBot="1" x14ac:dyDescent="0.6">
      <c r="A645" s="42"/>
      <c r="B645" s="43"/>
      <c r="C645" s="31"/>
      <c r="D645" s="32"/>
    </row>
    <row r="646" spans="1:4" ht="42.75" customHeight="1" thickBot="1" x14ac:dyDescent="0.6">
      <c r="A646" s="44"/>
      <c r="B646" s="45"/>
      <c r="C646" s="45"/>
      <c r="D646" s="46"/>
    </row>
    <row r="647" spans="1:4" ht="42.75" customHeight="1" thickBot="1" x14ac:dyDescent="0.6">
      <c r="A647" s="56"/>
      <c r="B647" s="57"/>
      <c r="C647" s="57"/>
      <c r="D647" s="58"/>
    </row>
    <row r="648" spans="1:4" ht="42.75" customHeight="1" thickBot="1" x14ac:dyDescent="0.6">
      <c r="A648" s="50"/>
      <c r="B648" s="51"/>
      <c r="C648" s="51"/>
      <c r="D648" s="52"/>
    </row>
    <row r="649" spans="1:4" ht="42.75" customHeight="1" thickBot="1" x14ac:dyDescent="0.6">
      <c r="A649" s="1"/>
      <c r="B649" s="2"/>
      <c r="C649" s="2"/>
      <c r="D649" s="3"/>
    </row>
    <row r="650" spans="1:4" ht="42.75" customHeight="1" thickBot="1" x14ac:dyDescent="0.6">
      <c r="A650" s="10"/>
      <c r="B650" s="11"/>
      <c r="C650" s="12"/>
      <c r="D650" s="11"/>
    </row>
    <row r="651" spans="1:4" ht="42.75" customHeight="1" thickBot="1" x14ac:dyDescent="0.6">
      <c r="A651" s="14"/>
      <c r="B651" s="15"/>
      <c r="C651" s="16"/>
      <c r="D651" s="17"/>
    </row>
    <row r="652" spans="1:4" ht="42.75" customHeight="1" thickBot="1" x14ac:dyDescent="0.6">
      <c r="A652" s="15"/>
      <c r="B652" s="15"/>
      <c r="C652" s="20"/>
      <c r="D652" s="21"/>
    </row>
    <row r="653" spans="1:4" ht="42.75" customHeight="1" thickBot="1" x14ac:dyDescent="0.6">
      <c r="A653" s="23"/>
      <c r="B653" s="24"/>
      <c r="C653" s="25"/>
      <c r="D653" s="26"/>
    </row>
    <row r="654" spans="1:4" ht="42.75" customHeight="1" thickBot="1" x14ac:dyDescent="0.6">
      <c r="A654" s="23"/>
      <c r="B654" s="24"/>
      <c r="C654" s="31"/>
      <c r="D654" s="32"/>
    </row>
    <row r="655" spans="1:4" ht="42.75" customHeight="1" thickBot="1" x14ac:dyDescent="0.7">
      <c r="A655" s="34"/>
      <c r="B655" s="35"/>
      <c r="C655" s="36"/>
      <c r="D655" s="32"/>
    </row>
    <row r="656" spans="1:4" ht="42.75" customHeight="1" thickBot="1" x14ac:dyDescent="0.6">
      <c r="A656" s="38"/>
      <c r="B656" s="39"/>
      <c r="C656" s="31"/>
      <c r="D656" s="32"/>
    </row>
    <row r="657" spans="1:4" ht="42.75" customHeight="1" thickBot="1" x14ac:dyDescent="0.6">
      <c r="A657" s="40"/>
      <c r="B657" s="41"/>
      <c r="C657" s="31"/>
      <c r="D657" s="32"/>
    </row>
    <row r="658" spans="1:4" ht="42.75" customHeight="1" thickBot="1" x14ac:dyDescent="0.6">
      <c r="A658" s="42"/>
      <c r="B658" s="43"/>
      <c r="C658" s="31"/>
      <c r="D658" s="32"/>
    </row>
    <row r="659" spans="1:4" ht="42.75" customHeight="1" thickBot="1" x14ac:dyDescent="0.6">
      <c r="A659" s="44"/>
      <c r="B659" s="45"/>
      <c r="C659" s="45"/>
      <c r="D659" s="46"/>
    </row>
    <row r="660" spans="1:4" ht="42.75" customHeight="1" thickBot="1" x14ac:dyDescent="0.6">
      <c r="A660" s="47"/>
      <c r="B660" s="48"/>
      <c r="C660" s="48"/>
      <c r="D660" s="49"/>
    </row>
    <row r="661" spans="1:4" ht="42.75" customHeight="1" thickBot="1" x14ac:dyDescent="0.6">
      <c r="A661" s="50"/>
      <c r="B661" s="51"/>
      <c r="C661" s="51"/>
      <c r="D661" s="52"/>
    </row>
    <row r="662" spans="1:4" ht="42.75" customHeight="1" thickBot="1" x14ac:dyDescent="0.6">
      <c r="A662" s="53"/>
      <c r="B662" s="53"/>
      <c r="C662" s="53"/>
      <c r="D662" s="53"/>
    </row>
    <row r="663" spans="1:4" ht="42.75" customHeight="1" thickBot="1" x14ac:dyDescent="0.6">
      <c r="A663" s="1"/>
      <c r="B663" s="2"/>
      <c r="C663" s="2"/>
      <c r="D663" s="3"/>
    </row>
    <row r="664" spans="1:4" ht="42.75" customHeight="1" thickBot="1" x14ac:dyDescent="0.6">
      <c r="A664" s="10"/>
      <c r="B664" s="11"/>
      <c r="C664" s="12"/>
      <c r="D664" s="11"/>
    </row>
    <row r="665" spans="1:4" ht="42.75" customHeight="1" thickBot="1" x14ac:dyDescent="0.6">
      <c r="A665" s="14"/>
      <c r="B665" s="15"/>
      <c r="C665" s="16"/>
      <c r="D665" s="17"/>
    </row>
    <row r="666" spans="1:4" ht="42.75" customHeight="1" thickBot="1" x14ac:dyDescent="0.6">
      <c r="A666" s="15"/>
      <c r="B666" s="15"/>
      <c r="C666" s="20"/>
      <c r="D666" s="21"/>
    </row>
    <row r="667" spans="1:4" ht="42.75" customHeight="1" thickBot="1" x14ac:dyDescent="0.6">
      <c r="A667" s="23"/>
      <c r="B667" s="24"/>
      <c r="C667" s="25"/>
      <c r="D667" s="26"/>
    </row>
    <row r="668" spans="1:4" ht="42.75" customHeight="1" thickBot="1" x14ac:dyDescent="0.6">
      <c r="A668" s="23"/>
      <c r="B668" s="24"/>
      <c r="C668" s="31"/>
      <c r="D668" s="32"/>
    </row>
    <row r="669" spans="1:4" ht="42.75" customHeight="1" thickBot="1" x14ac:dyDescent="0.7">
      <c r="A669" s="34"/>
      <c r="B669" s="35"/>
      <c r="C669" s="36"/>
      <c r="D669" s="32"/>
    </row>
    <row r="670" spans="1:4" ht="42.75" customHeight="1" thickBot="1" x14ac:dyDescent="0.6">
      <c r="A670" s="38"/>
      <c r="B670" s="39"/>
      <c r="C670" s="31"/>
      <c r="D670" s="32"/>
    </row>
    <row r="671" spans="1:4" ht="42.75" customHeight="1" thickBot="1" x14ac:dyDescent="0.6">
      <c r="A671" s="40"/>
      <c r="B671" s="41"/>
      <c r="C671" s="31"/>
      <c r="D671" s="32"/>
    </row>
    <row r="672" spans="1:4" ht="42.75" customHeight="1" thickBot="1" x14ac:dyDescent="0.6">
      <c r="A672" s="42"/>
      <c r="B672" s="43"/>
      <c r="C672" s="31"/>
      <c r="D672" s="32"/>
    </row>
    <row r="673" spans="1:4" ht="42.75" customHeight="1" thickBot="1" x14ac:dyDescent="0.6">
      <c r="A673" s="44"/>
      <c r="B673" s="45"/>
      <c r="C673" s="45"/>
      <c r="D673" s="46"/>
    </row>
    <row r="674" spans="1:4" ht="42.75" customHeight="1" thickBot="1" x14ac:dyDescent="0.6">
      <c r="A674" s="56"/>
      <c r="B674" s="57"/>
      <c r="C674" s="57"/>
      <c r="D674" s="58"/>
    </row>
    <row r="675" spans="1:4" ht="42.75" customHeight="1" thickBot="1" x14ac:dyDescent="0.6">
      <c r="A675" s="50"/>
      <c r="B675" s="51"/>
      <c r="C675" s="51"/>
      <c r="D675" s="52"/>
    </row>
    <row r="676" spans="1:4" ht="42.75" customHeight="1" thickBot="1" x14ac:dyDescent="0.6">
      <c r="A676" s="1"/>
      <c r="B676" s="2"/>
      <c r="C676" s="2"/>
      <c r="D676" s="3"/>
    </row>
    <row r="677" spans="1:4" ht="42.75" customHeight="1" thickBot="1" x14ac:dyDescent="0.6">
      <c r="A677" s="10"/>
      <c r="B677" s="11"/>
      <c r="C677" s="12"/>
      <c r="D677" s="11"/>
    </row>
    <row r="678" spans="1:4" ht="42.75" customHeight="1" thickBot="1" x14ac:dyDescent="0.6">
      <c r="A678" s="14"/>
      <c r="B678" s="15"/>
      <c r="C678" s="16"/>
      <c r="D678" s="17"/>
    </row>
    <row r="679" spans="1:4" ht="42.75" customHeight="1" thickBot="1" x14ac:dyDescent="0.6">
      <c r="A679" s="15"/>
      <c r="B679" s="15"/>
      <c r="C679" s="20"/>
      <c r="D679" s="21"/>
    </row>
    <row r="680" spans="1:4" ht="42.75" customHeight="1" thickBot="1" x14ac:dyDescent="0.6">
      <c r="A680" s="23"/>
      <c r="B680" s="24"/>
      <c r="C680" s="25"/>
      <c r="D680" s="26"/>
    </row>
    <row r="681" spans="1:4" ht="42.75" customHeight="1" thickBot="1" x14ac:dyDescent="0.6">
      <c r="A681" s="23"/>
      <c r="B681" s="24"/>
      <c r="C681" s="31"/>
      <c r="D681" s="32"/>
    </row>
    <row r="682" spans="1:4" ht="42.75" customHeight="1" thickBot="1" x14ac:dyDescent="0.7">
      <c r="A682" s="34"/>
      <c r="B682" s="35"/>
      <c r="C682" s="36"/>
      <c r="D682" s="32"/>
    </row>
    <row r="683" spans="1:4" ht="42.75" customHeight="1" thickBot="1" x14ac:dyDescent="0.6">
      <c r="A683" s="38"/>
      <c r="B683" s="39"/>
      <c r="C683" s="31"/>
      <c r="D683" s="32"/>
    </row>
    <row r="684" spans="1:4" ht="42.75" customHeight="1" thickBot="1" x14ac:dyDescent="0.6">
      <c r="A684" s="40"/>
      <c r="B684" s="41"/>
      <c r="C684" s="31"/>
      <c r="D684" s="32"/>
    </row>
    <row r="685" spans="1:4" ht="42.75" customHeight="1" thickBot="1" x14ac:dyDescent="0.6">
      <c r="A685" s="42"/>
      <c r="B685" s="43"/>
      <c r="C685" s="31"/>
      <c r="D685" s="32"/>
    </row>
    <row r="686" spans="1:4" ht="42.75" customHeight="1" thickBot="1" x14ac:dyDescent="0.6">
      <c r="A686" s="44"/>
      <c r="B686" s="45"/>
      <c r="C686" s="45"/>
      <c r="D686" s="46"/>
    </row>
    <row r="687" spans="1:4" ht="42.75" customHeight="1" thickBot="1" x14ac:dyDescent="0.6">
      <c r="A687" s="47"/>
      <c r="B687" s="48"/>
      <c r="C687" s="48"/>
      <c r="D687" s="49"/>
    </row>
    <row r="688" spans="1:4" ht="42.75" customHeight="1" thickBot="1" x14ac:dyDescent="0.6">
      <c r="A688" s="50"/>
      <c r="B688" s="51"/>
      <c r="C688" s="51"/>
      <c r="D688" s="52"/>
    </row>
    <row r="689" spans="1:4" ht="42.75" customHeight="1" thickBot="1" x14ac:dyDescent="0.6">
      <c r="A689" s="53"/>
      <c r="B689" s="53"/>
      <c r="C689" s="53"/>
      <c r="D689" s="53"/>
    </row>
    <row r="690" spans="1:4" ht="42.75" customHeight="1" thickBot="1" x14ac:dyDescent="0.6">
      <c r="A690" s="1"/>
      <c r="B690" s="2"/>
      <c r="C690" s="2"/>
      <c r="D690" s="3"/>
    </row>
    <row r="691" spans="1:4" ht="42.75" customHeight="1" thickBot="1" x14ac:dyDescent="0.6">
      <c r="A691" s="10"/>
      <c r="B691" s="11"/>
      <c r="C691" s="12"/>
      <c r="D691" s="11"/>
    </row>
    <row r="692" spans="1:4" ht="42.75" customHeight="1" thickBot="1" x14ac:dyDescent="0.6">
      <c r="A692" s="14"/>
      <c r="B692" s="15"/>
      <c r="C692" s="16"/>
      <c r="D692" s="17"/>
    </row>
    <row r="693" spans="1:4" ht="42.75" customHeight="1" thickBot="1" x14ac:dyDescent="0.6">
      <c r="A693" s="15"/>
      <c r="B693" s="15"/>
      <c r="C693" s="20"/>
      <c r="D693" s="21"/>
    </row>
    <row r="694" spans="1:4" ht="42.75" customHeight="1" thickBot="1" x14ac:dyDescent="0.6">
      <c r="A694" s="23"/>
      <c r="B694" s="24"/>
      <c r="C694" s="25"/>
      <c r="D694" s="26"/>
    </row>
    <row r="695" spans="1:4" ht="42.75" customHeight="1" thickBot="1" x14ac:dyDescent="0.6">
      <c r="A695" s="23"/>
      <c r="B695" s="24"/>
      <c r="C695" s="31"/>
      <c r="D695" s="32"/>
    </row>
    <row r="696" spans="1:4" ht="42.75" customHeight="1" thickBot="1" x14ac:dyDescent="0.7">
      <c r="A696" s="34"/>
      <c r="B696" s="35"/>
      <c r="C696" s="36"/>
      <c r="D696" s="32"/>
    </row>
    <row r="697" spans="1:4" ht="42.75" customHeight="1" thickBot="1" x14ac:dyDescent="0.6">
      <c r="A697" s="38"/>
      <c r="B697" s="39"/>
      <c r="C697" s="31"/>
      <c r="D697" s="32"/>
    </row>
    <row r="698" spans="1:4" ht="42.75" customHeight="1" thickBot="1" x14ac:dyDescent="0.6">
      <c r="A698" s="40"/>
      <c r="B698" s="41"/>
      <c r="C698" s="31"/>
      <c r="D698" s="32"/>
    </row>
    <row r="699" spans="1:4" ht="42.75" customHeight="1" thickBot="1" x14ac:dyDescent="0.6">
      <c r="A699" s="42"/>
      <c r="B699" s="43"/>
      <c r="C699" s="31"/>
      <c r="D699" s="32"/>
    </row>
    <row r="700" spans="1:4" ht="42.75" customHeight="1" thickBot="1" x14ac:dyDescent="0.6">
      <c r="A700" s="44"/>
      <c r="B700" s="45"/>
      <c r="C700" s="45"/>
      <c r="D700" s="46"/>
    </row>
    <row r="701" spans="1:4" ht="42.75" customHeight="1" thickBot="1" x14ac:dyDescent="0.6">
      <c r="A701" s="56"/>
      <c r="B701" s="57"/>
      <c r="C701" s="57"/>
      <c r="D701" s="58"/>
    </row>
    <row r="702" spans="1:4" ht="42.75" customHeight="1" thickBot="1" x14ac:dyDescent="0.6">
      <c r="A702" s="50"/>
      <c r="B702" s="51"/>
      <c r="C702" s="51"/>
      <c r="D702" s="52"/>
    </row>
    <row r="703" spans="1:4" ht="42.75" customHeight="1" thickBot="1" x14ac:dyDescent="0.6">
      <c r="A703" s="1"/>
      <c r="B703" s="2"/>
      <c r="C703" s="2"/>
      <c r="D703" s="3"/>
    </row>
    <row r="704" spans="1:4" ht="42.75" customHeight="1" thickBot="1" x14ac:dyDescent="0.6">
      <c r="A704" s="10"/>
      <c r="B704" s="11"/>
      <c r="C704" s="12"/>
      <c r="D704" s="11"/>
    </row>
    <row r="705" spans="1:4" ht="42.75" customHeight="1" thickBot="1" x14ac:dyDescent="0.6">
      <c r="A705" s="14"/>
      <c r="B705" s="15"/>
      <c r="C705" s="16"/>
      <c r="D705" s="17"/>
    </row>
    <row r="706" spans="1:4" ht="42.75" customHeight="1" thickBot="1" x14ac:dyDescent="0.6">
      <c r="A706" s="15"/>
      <c r="B706" s="15"/>
      <c r="C706" s="20"/>
      <c r="D706" s="21"/>
    </row>
    <row r="707" spans="1:4" ht="42.75" customHeight="1" thickBot="1" x14ac:dyDescent="0.6">
      <c r="A707" s="23"/>
      <c r="B707" s="24"/>
      <c r="C707" s="25"/>
      <c r="D707" s="26"/>
    </row>
    <row r="708" spans="1:4" ht="42.75" customHeight="1" thickBot="1" x14ac:dyDescent="0.6">
      <c r="A708" s="23"/>
      <c r="B708" s="24"/>
      <c r="C708" s="31"/>
      <c r="D708" s="32"/>
    </row>
    <row r="709" spans="1:4" ht="42.75" customHeight="1" thickBot="1" x14ac:dyDescent="0.7">
      <c r="A709" s="34"/>
      <c r="B709" s="35"/>
      <c r="C709" s="36"/>
      <c r="D709" s="32"/>
    </row>
    <row r="710" spans="1:4" ht="42.75" customHeight="1" thickBot="1" x14ac:dyDescent="0.6">
      <c r="A710" s="38"/>
      <c r="B710" s="39"/>
      <c r="C710" s="31"/>
      <c r="D710" s="32"/>
    </row>
    <row r="711" spans="1:4" ht="42.75" customHeight="1" thickBot="1" x14ac:dyDescent="0.6">
      <c r="A711" s="40"/>
      <c r="B711" s="41"/>
      <c r="C711" s="31"/>
      <c r="D711" s="32"/>
    </row>
    <row r="712" spans="1:4" ht="42.75" customHeight="1" thickBot="1" x14ac:dyDescent="0.6">
      <c r="A712" s="42"/>
      <c r="B712" s="43"/>
      <c r="C712" s="31"/>
      <c r="D712" s="32"/>
    </row>
    <row r="713" spans="1:4" ht="42.75" customHeight="1" thickBot="1" x14ac:dyDescent="0.6">
      <c r="A713" s="44"/>
      <c r="B713" s="45"/>
      <c r="C713" s="45"/>
      <c r="D713" s="46"/>
    </row>
    <row r="714" spans="1:4" ht="42.75" customHeight="1" thickBot="1" x14ac:dyDescent="0.6">
      <c r="A714" s="47"/>
      <c r="B714" s="48"/>
      <c r="C714" s="48"/>
      <c r="D714" s="49"/>
    </row>
    <row r="715" spans="1:4" ht="42.75" customHeight="1" thickBot="1" x14ac:dyDescent="0.6">
      <c r="A715" s="50"/>
      <c r="B715" s="51"/>
      <c r="C715" s="51"/>
      <c r="D715" s="52"/>
    </row>
    <row r="716" spans="1:4" ht="42.75" customHeight="1" thickBot="1" x14ac:dyDescent="0.6">
      <c r="A716" s="53"/>
      <c r="B716" s="53"/>
      <c r="C716" s="53"/>
      <c r="D716" s="53"/>
    </row>
    <row r="717" spans="1:4" ht="42.75" customHeight="1" thickBot="1" x14ac:dyDescent="0.6">
      <c r="A717" s="1"/>
      <c r="B717" s="2"/>
      <c r="C717" s="2"/>
      <c r="D717" s="3"/>
    </row>
    <row r="718" spans="1:4" ht="42.75" customHeight="1" thickBot="1" x14ac:dyDescent="0.6">
      <c r="A718" s="10"/>
      <c r="B718" s="11"/>
      <c r="C718" s="12"/>
      <c r="D718" s="11"/>
    </row>
    <row r="719" spans="1:4" ht="42.75" customHeight="1" thickBot="1" x14ac:dyDescent="0.6">
      <c r="A719" s="14"/>
      <c r="B719" s="15"/>
      <c r="C719" s="16"/>
      <c r="D719" s="17"/>
    </row>
    <row r="720" spans="1:4" ht="42.75" customHeight="1" thickBot="1" x14ac:dyDescent="0.6">
      <c r="A720" s="15"/>
      <c r="B720" s="15"/>
      <c r="C720" s="20"/>
      <c r="D720" s="21"/>
    </row>
    <row r="721" spans="1:4" ht="42.75" customHeight="1" thickBot="1" x14ac:dyDescent="0.6">
      <c r="A721" s="23"/>
      <c r="B721" s="24"/>
      <c r="C721" s="25"/>
      <c r="D721" s="26"/>
    </row>
    <row r="722" spans="1:4" ht="42.75" customHeight="1" thickBot="1" x14ac:dyDescent="0.6">
      <c r="A722" s="23"/>
      <c r="B722" s="24"/>
      <c r="C722" s="31"/>
      <c r="D722" s="32"/>
    </row>
    <row r="723" spans="1:4" ht="42.75" customHeight="1" thickBot="1" x14ac:dyDescent="0.7">
      <c r="A723" s="34"/>
      <c r="B723" s="35"/>
      <c r="C723" s="36"/>
      <c r="D723" s="32"/>
    </row>
    <row r="724" spans="1:4" ht="42.75" customHeight="1" thickBot="1" x14ac:dyDescent="0.6">
      <c r="A724" s="38"/>
      <c r="B724" s="39"/>
      <c r="C724" s="31"/>
      <c r="D724" s="32"/>
    </row>
    <row r="725" spans="1:4" ht="42.75" customHeight="1" thickBot="1" x14ac:dyDescent="0.6">
      <c r="A725" s="40"/>
      <c r="B725" s="41"/>
      <c r="C725" s="31"/>
      <c r="D725" s="32"/>
    </row>
    <row r="726" spans="1:4" ht="42.75" customHeight="1" thickBot="1" x14ac:dyDescent="0.6">
      <c r="A726" s="42"/>
      <c r="B726" s="43"/>
      <c r="C726" s="31"/>
      <c r="D726" s="32"/>
    </row>
    <row r="727" spans="1:4" ht="42.75" customHeight="1" thickBot="1" x14ac:dyDescent="0.6">
      <c r="A727" s="44"/>
      <c r="B727" s="45"/>
      <c r="C727" s="45"/>
      <c r="D727" s="46"/>
    </row>
    <row r="728" spans="1:4" ht="42.75" customHeight="1" thickBot="1" x14ac:dyDescent="0.6">
      <c r="A728" s="56"/>
      <c r="B728" s="57"/>
      <c r="C728" s="57"/>
      <c r="D728" s="58"/>
    </row>
    <row r="729" spans="1:4" ht="42.75" customHeight="1" thickBot="1" x14ac:dyDescent="0.6">
      <c r="A729" s="50"/>
      <c r="B729" s="51"/>
      <c r="C729" s="51"/>
      <c r="D729" s="52"/>
    </row>
    <row r="730" spans="1:4" ht="42.75" customHeight="1" thickBot="1" x14ac:dyDescent="0.6">
      <c r="A730" s="1"/>
      <c r="B730" s="2"/>
      <c r="C730" s="2"/>
      <c r="D730" s="3"/>
    </row>
    <row r="731" spans="1:4" ht="42.75" customHeight="1" thickBot="1" x14ac:dyDescent="0.6">
      <c r="A731" s="10"/>
      <c r="B731" s="11"/>
      <c r="C731" s="12"/>
      <c r="D731" s="11"/>
    </row>
    <row r="732" spans="1:4" ht="42.75" customHeight="1" thickBot="1" x14ac:dyDescent="0.6">
      <c r="A732" s="14"/>
      <c r="B732" s="15"/>
      <c r="C732" s="16"/>
      <c r="D732" s="17"/>
    </row>
    <row r="733" spans="1:4" ht="42.75" customHeight="1" thickBot="1" x14ac:dyDescent="0.6">
      <c r="A733" s="15"/>
      <c r="B733" s="15"/>
      <c r="C733" s="20"/>
      <c r="D733" s="21"/>
    </row>
    <row r="734" spans="1:4" ht="42.75" customHeight="1" thickBot="1" x14ac:dyDescent="0.6">
      <c r="A734" s="23"/>
      <c r="B734" s="24"/>
      <c r="C734" s="25"/>
      <c r="D734" s="26"/>
    </row>
    <row r="735" spans="1:4" ht="42.75" customHeight="1" thickBot="1" x14ac:dyDescent="0.6">
      <c r="A735" s="23"/>
      <c r="B735" s="24"/>
      <c r="C735" s="31"/>
      <c r="D735" s="32"/>
    </row>
    <row r="736" spans="1:4" ht="42.75" customHeight="1" thickBot="1" x14ac:dyDescent="0.7">
      <c r="A736" s="34"/>
      <c r="B736" s="35"/>
      <c r="C736" s="36"/>
      <c r="D736" s="32"/>
    </row>
    <row r="737" spans="1:4" ht="42.75" customHeight="1" thickBot="1" x14ac:dyDescent="0.6">
      <c r="A737" s="38"/>
      <c r="B737" s="39"/>
      <c r="C737" s="31"/>
      <c r="D737" s="32"/>
    </row>
    <row r="738" spans="1:4" ht="42.75" customHeight="1" thickBot="1" x14ac:dyDescent="0.6">
      <c r="A738" s="40"/>
      <c r="B738" s="41"/>
      <c r="C738" s="31"/>
      <c r="D738" s="32"/>
    </row>
    <row r="739" spans="1:4" ht="42.75" customHeight="1" thickBot="1" x14ac:dyDescent="0.6">
      <c r="A739" s="42"/>
      <c r="B739" s="43"/>
      <c r="C739" s="31"/>
      <c r="D739" s="32"/>
    </row>
    <row r="740" spans="1:4" ht="42.75" customHeight="1" thickBot="1" x14ac:dyDescent="0.6">
      <c r="A740" s="44"/>
      <c r="B740" s="45"/>
      <c r="C740" s="45"/>
      <c r="D740" s="46"/>
    </row>
    <row r="741" spans="1:4" ht="42.75" customHeight="1" thickBot="1" x14ac:dyDescent="0.6">
      <c r="A741" s="47"/>
      <c r="B741" s="48"/>
      <c r="C741" s="48"/>
      <c r="D741" s="49"/>
    </row>
    <row r="742" spans="1:4" ht="42.75" customHeight="1" thickBot="1" x14ac:dyDescent="0.6">
      <c r="A742" s="50"/>
      <c r="B742" s="51"/>
      <c r="C742" s="51"/>
      <c r="D742" s="52"/>
    </row>
    <row r="743" spans="1:4" ht="42.75" customHeight="1" thickBot="1" x14ac:dyDescent="0.6">
      <c r="A743" s="53"/>
      <c r="B743" s="53"/>
      <c r="C743" s="53"/>
      <c r="D743" s="53"/>
    </row>
    <row r="744" spans="1:4" ht="42.75" customHeight="1" thickBot="1" x14ac:dyDescent="0.6">
      <c r="A744" s="1"/>
      <c r="B744" s="2"/>
      <c r="C744" s="2"/>
      <c r="D744" s="3"/>
    </row>
    <row r="745" spans="1:4" ht="42.75" customHeight="1" thickBot="1" x14ac:dyDescent="0.6">
      <c r="A745" s="10"/>
      <c r="B745" s="11"/>
      <c r="C745" s="12"/>
      <c r="D745" s="11"/>
    </row>
    <row r="746" spans="1:4" ht="42.75" customHeight="1" thickBot="1" x14ac:dyDescent="0.6">
      <c r="A746" s="14"/>
      <c r="B746" s="15"/>
      <c r="C746" s="16"/>
      <c r="D746" s="17"/>
    </row>
    <row r="747" spans="1:4" ht="42.75" customHeight="1" thickBot="1" x14ac:dyDescent="0.6">
      <c r="A747" s="15"/>
      <c r="B747" s="15"/>
      <c r="C747" s="20"/>
      <c r="D747" s="21"/>
    </row>
    <row r="748" spans="1:4" ht="42.75" customHeight="1" thickBot="1" x14ac:dyDescent="0.6">
      <c r="A748" s="23"/>
      <c r="B748" s="24"/>
      <c r="C748" s="25"/>
      <c r="D748" s="26"/>
    </row>
    <row r="749" spans="1:4" ht="42.75" customHeight="1" thickBot="1" x14ac:dyDescent="0.6">
      <c r="A749" s="23"/>
      <c r="B749" s="24"/>
      <c r="C749" s="31"/>
      <c r="D749" s="32"/>
    </row>
    <row r="750" spans="1:4" ht="42.75" customHeight="1" thickBot="1" x14ac:dyDescent="0.7">
      <c r="A750" s="34"/>
      <c r="B750" s="35"/>
      <c r="C750" s="36"/>
      <c r="D750" s="32"/>
    </row>
    <row r="751" spans="1:4" ht="42.75" customHeight="1" thickBot="1" x14ac:dyDescent="0.6">
      <c r="A751" s="38"/>
      <c r="B751" s="39"/>
      <c r="C751" s="31"/>
      <c r="D751" s="32"/>
    </row>
    <row r="752" spans="1:4" ht="42.75" customHeight="1" thickBot="1" x14ac:dyDescent="0.6">
      <c r="A752" s="40"/>
      <c r="B752" s="41"/>
      <c r="C752" s="31"/>
      <c r="D752" s="32"/>
    </row>
    <row r="753" spans="1:4" ht="42.75" customHeight="1" thickBot="1" x14ac:dyDescent="0.6">
      <c r="A753" s="42"/>
      <c r="B753" s="43"/>
      <c r="C753" s="31"/>
      <c r="D753" s="32"/>
    </row>
    <row r="754" spans="1:4" ht="42.75" customHeight="1" thickBot="1" x14ac:dyDescent="0.6">
      <c r="A754" s="44"/>
      <c r="B754" s="45"/>
      <c r="C754" s="45"/>
      <c r="D754" s="46"/>
    </row>
    <row r="755" spans="1:4" ht="42.75" customHeight="1" thickBot="1" x14ac:dyDescent="0.6">
      <c r="A755" s="56"/>
      <c r="B755" s="57"/>
      <c r="C755" s="57"/>
      <c r="D755" s="58"/>
    </row>
    <row r="756" spans="1:4" ht="42.75" customHeight="1" thickBot="1" x14ac:dyDescent="0.6">
      <c r="A756" s="50"/>
      <c r="B756" s="51"/>
      <c r="C756" s="51"/>
      <c r="D756" s="52"/>
    </row>
    <row r="757" spans="1:4" ht="42.75" customHeight="1" thickBot="1" x14ac:dyDescent="0.6">
      <c r="A757" s="1"/>
      <c r="B757" s="2"/>
      <c r="C757" s="2"/>
      <c r="D757" s="3"/>
    </row>
    <row r="758" spans="1:4" ht="42.75" customHeight="1" thickBot="1" x14ac:dyDescent="0.6">
      <c r="A758" s="10"/>
      <c r="B758" s="11"/>
      <c r="C758" s="12"/>
      <c r="D758" s="11"/>
    </row>
    <row r="759" spans="1:4" ht="42.75" customHeight="1" thickBot="1" x14ac:dyDescent="0.6">
      <c r="A759" s="14"/>
      <c r="B759" s="15"/>
      <c r="C759" s="16"/>
      <c r="D759" s="17"/>
    </row>
    <row r="760" spans="1:4" ht="42.75" customHeight="1" thickBot="1" x14ac:dyDescent="0.6">
      <c r="A760" s="15"/>
      <c r="B760" s="15"/>
      <c r="C760" s="20"/>
      <c r="D760" s="21"/>
    </row>
    <row r="761" spans="1:4" ht="42.75" customHeight="1" thickBot="1" x14ac:dyDescent="0.6">
      <c r="A761" s="23"/>
      <c r="B761" s="24"/>
      <c r="C761" s="25"/>
      <c r="D761" s="26"/>
    </row>
    <row r="762" spans="1:4" ht="42.75" customHeight="1" thickBot="1" x14ac:dyDescent="0.6">
      <c r="A762" s="23"/>
      <c r="B762" s="24"/>
      <c r="C762" s="31"/>
      <c r="D762" s="32"/>
    </row>
    <row r="763" spans="1:4" ht="42.75" customHeight="1" thickBot="1" x14ac:dyDescent="0.7">
      <c r="A763" s="34"/>
      <c r="B763" s="35"/>
      <c r="C763" s="36"/>
      <c r="D763" s="32"/>
    </row>
    <row r="764" spans="1:4" ht="42.75" customHeight="1" thickBot="1" x14ac:dyDescent="0.6">
      <c r="A764" s="38"/>
      <c r="B764" s="39"/>
      <c r="C764" s="31"/>
      <c r="D764" s="32"/>
    </row>
    <row r="765" spans="1:4" ht="42.75" customHeight="1" thickBot="1" x14ac:dyDescent="0.6">
      <c r="A765" s="40"/>
      <c r="B765" s="41"/>
      <c r="C765" s="31"/>
      <c r="D765" s="32"/>
    </row>
    <row r="766" spans="1:4" ht="42.75" customHeight="1" thickBot="1" x14ac:dyDescent="0.6">
      <c r="A766" s="42"/>
      <c r="B766" s="43"/>
      <c r="C766" s="31"/>
      <c r="D766" s="32"/>
    </row>
    <row r="767" spans="1:4" ht="42.75" customHeight="1" thickBot="1" x14ac:dyDescent="0.6">
      <c r="A767" s="44"/>
      <c r="B767" s="45"/>
      <c r="C767" s="45"/>
      <c r="D767" s="46"/>
    </row>
    <row r="768" spans="1:4" ht="42.75" customHeight="1" thickBot="1" x14ac:dyDescent="0.6">
      <c r="A768" s="47"/>
      <c r="B768" s="48"/>
      <c r="C768" s="48"/>
      <c r="D768" s="49"/>
    </row>
    <row r="769" spans="1:4" ht="42.75" customHeight="1" thickBot="1" x14ac:dyDescent="0.6">
      <c r="A769" s="50"/>
      <c r="B769" s="51"/>
      <c r="C769" s="51"/>
      <c r="D769" s="52"/>
    </row>
    <row r="770" spans="1:4" ht="42.75" customHeight="1" thickBot="1" x14ac:dyDescent="0.6">
      <c r="A770" s="53"/>
      <c r="B770" s="53"/>
      <c r="C770" s="53"/>
      <c r="D770" s="53"/>
    </row>
    <row r="771" spans="1:4" ht="42.75" customHeight="1" thickBot="1" x14ac:dyDescent="0.6">
      <c r="A771" s="1"/>
      <c r="B771" s="2"/>
      <c r="C771" s="2"/>
      <c r="D771" s="3"/>
    </row>
    <row r="772" spans="1:4" ht="42.75" customHeight="1" thickBot="1" x14ac:dyDescent="0.6">
      <c r="A772" s="10"/>
      <c r="B772" s="11"/>
      <c r="C772" s="12"/>
      <c r="D772" s="11"/>
    </row>
    <row r="773" spans="1:4" ht="42.75" customHeight="1" thickBot="1" x14ac:dyDescent="0.6">
      <c r="A773" s="14"/>
      <c r="B773" s="15"/>
      <c r="C773" s="16"/>
      <c r="D773" s="17"/>
    </row>
    <row r="774" spans="1:4" ht="42.75" customHeight="1" thickBot="1" x14ac:dyDescent="0.6">
      <c r="A774" s="15"/>
      <c r="B774" s="15"/>
      <c r="C774" s="20"/>
      <c r="D774" s="21"/>
    </row>
    <row r="775" spans="1:4" ht="42.75" customHeight="1" thickBot="1" x14ac:dyDescent="0.6">
      <c r="A775" s="23"/>
      <c r="B775" s="24"/>
      <c r="C775" s="25"/>
      <c r="D775" s="26"/>
    </row>
    <row r="776" spans="1:4" ht="42.75" customHeight="1" thickBot="1" x14ac:dyDescent="0.6">
      <c r="A776" s="23"/>
      <c r="B776" s="24"/>
      <c r="C776" s="31"/>
      <c r="D776" s="32"/>
    </row>
    <row r="777" spans="1:4" ht="42.75" customHeight="1" thickBot="1" x14ac:dyDescent="0.7">
      <c r="A777" s="34"/>
      <c r="B777" s="35"/>
      <c r="C777" s="36"/>
      <c r="D777" s="32"/>
    </row>
    <row r="778" spans="1:4" ht="42.75" customHeight="1" thickBot="1" x14ac:dyDescent="0.6">
      <c r="A778" s="38"/>
      <c r="B778" s="39"/>
      <c r="C778" s="31"/>
      <c r="D778" s="32"/>
    </row>
    <row r="779" spans="1:4" ht="42.75" customHeight="1" thickBot="1" x14ac:dyDescent="0.6">
      <c r="A779" s="40"/>
      <c r="B779" s="41"/>
      <c r="C779" s="31"/>
      <c r="D779" s="32"/>
    </row>
    <row r="780" spans="1:4" ht="42.75" customHeight="1" thickBot="1" x14ac:dyDescent="0.6">
      <c r="A780" s="42"/>
      <c r="B780" s="43"/>
      <c r="C780" s="31"/>
      <c r="D780" s="32"/>
    </row>
    <row r="781" spans="1:4" ht="42.75" customHeight="1" thickBot="1" x14ac:dyDescent="0.6">
      <c r="A781" s="44"/>
      <c r="B781" s="45"/>
      <c r="C781" s="45"/>
      <c r="D781" s="46"/>
    </row>
    <row r="782" spans="1:4" ht="42.75" customHeight="1" thickBot="1" x14ac:dyDescent="0.6">
      <c r="A782" s="56"/>
      <c r="B782" s="57"/>
      <c r="C782" s="57"/>
      <c r="D782" s="58"/>
    </row>
    <row r="783" spans="1:4" ht="42.75" customHeight="1" thickBot="1" x14ac:dyDescent="0.6">
      <c r="A783" s="50"/>
      <c r="B783" s="51"/>
      <c r="C783" s="51"/>
      <c r="D783" s="52"/>
    </row>
    <row r="784" spans="1:4" ht="42.75" customHeight="1" thickBot="1" x14ac:dyDescent="0.6">
      <c r="A784" s="1"/>
      <c r="B784" s="2"/>
      <c r="C784" s="2"/>
      <c r="D784" s="3"/>
    </row>
    <row r="785" spans="1:4" ht="42.75" customHeight="1" thickBot="1" x14ac:dyDescent="0.6">
      <c r="A785" s="10"/>
      <c r="B785" s="11"/>
      <c r="C785" s="12"/>
      <c r="D785" s="11"/>
    </row>
    <row r="786" spans="1:4" ht="42.75" customHeight="1" thickBot="1" x14ac:dyDescent="0.6">
      <c r="A786" s="14"/>
      <c r="B786" s="15"/>
      <c r="C786" s="16"/>
      <c r="D786" s="17"/>
    </row>
    <row r="787" spans="1:4" ht="42.75" customHeight="1" thickBot="1" x14ac:dyDescent="0.6">
      <c r="A787" s="15"/>
      <c r="B787" s="15"/>
      <c r="C787" s="20"/>
      <c r="D787" s="21"/>
    </row>
    <row r="788" spans="1:4" ht="42.75" customHeight="1" thickBot="1" x14ac:dyDescent="0.6">
      <c r="A788" s="23"/>
      <c r="B788" s="24"/>
      <c r="C788" s="25"/>
      <c r="D788" s="26"/>
    </row>
    <row r="789" spans="1:4" ht="42.75" customHeight="1" thickBot="1" x14ac:dyDescent="0.6">
      <c r="A789" s="23"/>
      <c r="B789" s="24"/>
      <c r="C789" s="31"/>
      <c r="D789" s="32"/>
    </row>
    <row r="790" spans="1:4" ht="42.75" customHeight="1" thickBot="1" x14ac:dyDescent="0.7">
      <c r="A790" s="34"/>
      <c r="B790" s="35"/>
      <c r="C790" s="36"/>
      <c r="D790" s="32"/>
    </row>
    <row r="791" spans="1:4" ht="42.75" customHeight="1" thickBot="1" x14ac:dyDescent="0.6">
      <c r="A791" s="38"/>
      <c r="B791" s="39"/>
      <c r="C791" s="31"/>
      <c r="D791" s="32"/>
    </row>
    <row r="792" spans="1:4" ht="42.75" customHeight="1" thickBot="1" x14ac:dyDescent="0.6">
      <c r="A792" s="40"/>
      <c r="B792" s="41"/>
      <c r="C792" s="31"/>
      <c r="D792" s="32"/>
    </row>
    <row r="793" spans="1:4" ht="42.75" customHeight="1" thickBot="1" x14ac:dyDescent="0.6">
      <c r="A793" s="42"/>
      <c r="B793" s="43"/>
      <c r="C793" s="31"/>
      <c r="D793" s="32"/>
    </row>
    <row r="794" spans="1:4" ht="42.75" customHeight="1" thickBot="1" x14ac:dyDescent="0.6">
      <c r="A794" s="44"/>
      <c r="B794" s="45"/>
      <c r="C794" s="45"/>
      <c r="D794" s="46"/>
    </row>
    <row r="795" spans="1:4" ht="42.75" customHeight="1" thickBot="1" x14ac:dyDescent="0.6">
      <c r="A795" s="47"/>
      <c r="B795" s="48"/>
      <c r="C795" s="48"/>
      <c r="D795" s="49"/>
    </row>
    <row r="796" spans="1:4" ht="42.75" customHeight="1" thickBot="1" x14ac:dyDescent="0.6">
      <c r="A796" s="50"/>
      <c r="B796" s="51"/>
      <c r="C796" s="51"/>
      <c r="D796" s="52"/>
    </row>
    <row r="797" spans="1:4" ht="42.75" customHeight="1" thickBot="1" x14ac:dyDescent="0.6">
      <c r="A797" s="53"/>
      <c r="B797" s="53"/>
      <c r="C797" s="53"/>
      <c r="D797" s="53"/>
    </row>
    <row r="798" spans="1:4" ht="42.75" customHeight="1" thickBot="1" x14ac:dyDescent="0.6">
      <c r="A798" s="1"/>
      <c r="B798" s="2"/>
      <c r="C798" s="2"/>
      <c r="D798" s="3"/>
    </row>
    <row r="799" spans="1:4" ht="42.75" customHeight="1" thickBot="1" x14ac:dyDescent="0.6">
      <c r="A799" s="10"/>
      <c r="B799" s="11"/>
      <c r="C799" s="12"/>
      <c r="D799" s="11"/>
    </row>
    <row r="800" spans="1:4" ht="42.75" customHeight="1" thickBot="1" x14ac:dyDescent="0.6">
      <c r="A800" s="14"/>
      <c r="B800" s="15"/>
      <c r="C800" s="16"/>
      <c r="D800" s="17"/>
    </row>
    <row r="801" spans="1:4" ht="42.75" customHeight="1" thickBot="1" x14ac:dyDescent="0.6">
      <c r="A801" s="15"/>
      <c r="B801" s="15"/>
      <c r="C801" s="20"/>
      <c r="D801" s="21"/>
    </row>
    <row r="802" spans="1:4" ht="42.75" customHeight="1" thickBot="1" x14ac:dyDescent="0.6">
      <c r="A802" s="23"/>
      <c r="B802" s="24"/>
      <c r="C802" s="25"/>
      <c r="D802" s="26"/>
    </row>
    <row r="803" spans="1:4" ht="42.75" customHeight="1" thickBot="1" x14ac:dyDescent="0.6">
      <c r="A803" s="23"/>
      <c r="B803" s="24"/>
      <c r="C803" s="31"/>
      <c r="D803" s="32"/>
    </row>
    <row r="804" spans="1:4" ht="42.75" customHeight="1" thickBot="1" x14ac:dyDescent="0.7">
      <c r="A804" s="34"/>
      <c r="B804" s="35"/>
      <c r="C804" s="36"/>
      <c r="D804" s="32"/>
    </row>
    <row r="805" spans="1:4" ht="42.75" customHeight="1" thickBot="1" x14ac:dyDescent="0.6">
      <c r="A805" s="38"/>
      <c r="B805" s="39"/>
      <c r="C805" s="31"/>
      <c r="D805" s="32"/>
    </row>
    <row r="806" spans="1:4" ht="42.75" customHeight="1" thickBot="1" x14ac:dyDescent="0.6">
      <c r="A806" s="40"/>
      <c r="B806" s="41"/>
      <c r="C806" s="31"/>
      <c r="D806" s="32"/>
    </row>
    <row r="807" spans="1:4" ht="42.75" customHeight="1" thickBot="1" x14ac:dyDescent="0.6">
      <c r="A807" s="42"/>
      <c r="B807" s="43"/>
      <c r="C807" s="31"/>
      <c r="D807" s="32"/>
    </row>
    <row r="808" spans="1:4" ht="42.75" customHeight="1" thickBot="1" x14ac:dyDescent="0.6">
      <c r="A808" s="44"/>
      <c r="B808" s="45"/>
      <c r="C808" s="45"/>
      <c r="D808" s="46"/>
    </row>
    <row r="809" spans="1:4" ht="42.75" customHeight="1" thickBot="1" x14ac:dyDescent="0.6">
      <c r="A809" s="56"/>
      <c r="B809" s="57"/>
      <c r="C809" s="57"/>
      <c r="D809" s="58"/>
    </row>
    <row r="810" spans="1:4" ht="42.75" customHeight="1" thickBot="1" x14ac:dyDescent="0.6">
      <c r="A810" s="50"/>
      <c r="B810" s="51"/>
      <c r="C810" s="51"/>
      <c r="D810" s="52"/>
    </row>
    <row r="811" spans="1:4" ht="42.75" customHeight="1" thickBot="1" x14ac:dyDescent="0.6">
      <c r="A811" s="1"/>
      <c r="B811" s="2"/>
      <c r="C811" s="2"/>
      <c r="D811" s="3"/>
    </row>
    <row r="812" spans="1:4" ht="42.75" customHeight="1" thickBot="1" x14ac:dyDescent="0.6">
      <c r="A812" s="10"/>
      <c r="B812" s="11"/>
      <c r="C812" s="12"/>
      <c r="D812" s="11"/>
    </row>
    <row r="813" spans="1:4" ht="42.75" customHeight="1" thickBot="1" x14ac:dyDescent="0.6">
      <c r="A813" s="14"/>
      <c r="B813" s="15"/>
      <c r="C813" s="16"/>
      <c r="D813" s="17"/>
    </row>
    <row r="814" spans="1:4" ht="42.75" customHeight="1" thickBot="1" x14ac:dyDescent="0.6">
      <c r="A814" s="15"/>
      <c r="B814" s="23"/>
      <c r="C814" s="24"/>
      <c r="D814" s="21"/>
    </row>
    <row r="815" spans="1:4" ht="42.75" customHeight="1" thickBot="1" x14ac:dyDescent="0.6">
      <c r="A815" s="23"/>
      <c r="B815" s="24"/>
      <c r="C815" s="25"/>
      <c r="D815" s="26"/>
    </row>
    <row r="816" spans="1:4" ht="42.75" customHeight="1" thickBot="1" x14ac:dyDescent="0.6">
      <c r="A816" s="23"/>
      <c r="B816" s="24"/>
      <c r="C816" s="31"/>
      <c r="D816" s="32"/>
    </row>
    <row r="817" spans="1:4" ht="42.75" customHeight="1" thickBot="1" x14ac:dyDescent="0.7">
      <c r="A817" s="34"/>
      <c r="B817" s="35"/>
      <c r="C817" s="36"/>
      <c r="D817" s="32"/>
    </row>
    <row r="818" spans="1:4" ht="42.75" customHeight="1" thickBot="1" x14ac:dyDescent="0.6">
      <c r="A818" s="38"/>
      <c r="B818" s="39"/>
      <c r="C818" s="31"/>
      <c r="D818" s="32"/>
    </row>
    <row r="819" spans="1:4" ht="42.75" customHeight="1" thickBot="1" x14ac:dyDescent="0.6">
      <c r="A819" s="40"/>
      <c r="B819" s="41"/>
      <c r="C819" s="31"/>
      <c r="D819" s="32"/>
    </row>
    <row r="820" spans="1:4" ht="42.75" customHeight="1" thickBot="1" x14ac:dyDescent="0.6">
      <c r="A820" s="42"/>
      <c r="B820" s="43"/>
      <c r="C820" s="31"/>
      <c r="D820" s="32"/>
    </row>
    <row r="821" spans="1:4" ht="42.75" customHeight="1" thickBot="1" x14ac:dyDescent="0.6">
      <c r="A821" s="44"/>
      <c r="B821" s="45"/>
      <c r="C821" s="45"/>
      <c r="D821" s="46"/>
    </row>
    <row r="822" spans="1:4" ht="42.75" customHeight="1" thickBot="1" x14ac:dyDescent="0.6">
      <c r="A822" s="47"/>
      <c r="B822" s="48"/>
      <c r="C822" s="48"/>
      <c r="D822" s="49"/>
    </row>
    <row r="823" spans="1:4" ht="42.75" customHeight="1" thickBot="1" x14ac:dyDescent="0.6">
      <c r="A823" s="50"/>
      <c r="B823" s="51"/>
      <c r="C823" s="51"/>
      <c r="D823" s="52"/>
    </row>
    <row r="824" spans="1:4" ht="42.75" customHeight="1" thickBot="1" x14ac:dyDescent="0.6">
      <c r="A824" s="53"/>
      <c r="B824" s="53"/>
      <c r="C824" s="53"/>
      <c r="D824" s="53"/>
    </row>
    <row r="825" spans="1:4" ht="42.75" customHeight="1" thickBot="1" x14ac:dyDescent="0.6">
      <c r="A825" s="1"/>
      <c r="B825" s="2"/>
      <c r="C825" s="2"/>
      <c r="D825" s="3"/>
    </row>
    <row r="826" spans="1:4" ht="42.75" customHeight="1" thickBot="1" x14ac:dyDescent="0.6">
      <c r="A826" s="10"/>
      <c r="B826" s="11"/>
      <c r="C826" s="12"/>
      <c r="D826" s="11"/>
    </row>
    <row r="827" spans="1:4" ht="42.75" customHeight="1" thickBot="1" x14ac:dyDescent="0.6">
      <c r="A827" s="14"/>
      <c r="B827" s="15"/>
      <c r="C827" s="16"/>
      <c r="D827" s="17"/>
    </row>
    <row r="828" spans="1:4" ht="42.75" customHeight="1" thickBot="1" x14ac:dyDescent="0.6">
      <c r="A828" s="15"/>
      <c r="B828" s="15"/>
      <c r="C828" s="20"/>
      <c r="D828" s="21"/>
    </row>
    <row r="829" spans="1:4" ht="42.75" customHeight="1" thickBot="1" x14ac:dyDescent="0.6">
      <c r="A829" s="23"/>
      <c r="B829" s="24"/>
      <c r="C829" s="25"/>
      <c r="D829" s="26"/>
    </row>
    <row r="830" spans="1:4" ht="42.75" customHeight="1" thickBot="1" x14ac:dyDescent="0.6">
      <c r="A830" s="23"/>
      <c r="B830" s="24"/>
      <c r="C830" s="31"/>
      <c r="D830" s="32"/>
    </row>
    <row r="831" spans="1:4" ht="42.75" customHeight="1" thickBot="1" x14ac:dyDescent="0.7">
      <c r="A831" s="34"/>
      <c r="B831" s="35"/>
      <c r="C831" s="36"/>
      <c r="D831" s="32"/>
    </row>
    <row r="832" spans="1:4" ht="42.75" customHeight="1" thickBot="1" x14ac:dyDescent="0.6">
      <c r="A832" s="38"/>
      <c r="B832" s="39"/>
      <c r="C832" s="31"/>
      <c r="D832" s="32"/>
    </row>
    <row r="833" spans="1:4" ht="42.75" customHeight="1" thickBot="1" x14ac:dyDescent="0.6">
      <c r="A833" s="40"/>
      <c r="B833" s="41"/>
      <c r="C833" s="31"/>
      <c r="D833" s="32"/>
    </row>
    <row r="834" spans="1:4" ht="42.75" customHeight="1" thickBot="1" x14ac:dyDescent="0.6">
      <c r="A834" s="42"/>
      <c r="B834" s="43"/>
      <c r="C834" s="31"/>
      <c r="D834" s="32"/>
    </row>
    <row r="835" spans="1:4" ht="42.75" customHeight="1" thickBot="1" x14ac:dyDescent="0.6">
      <c r="A835" s="44"/>
      <c r="B835" s="45"/>
      <c r="C835" s="45"/>
      <c r="D835" s="46"/>
    </row>
    <row r="836" spans="1:4" ht="42.75" customHeight="1" thickBot="1" x14ac:dyDescent="0.6">
      <c r="A836" s="56"/>
      <c r="B836" s="57"/>
      <c r="C836" s="57"/>
      <c r="D836" s="58"/>
    </row>
    <row r="837" spans="1:4" ht="42.75" customHeight="1" thickBot="1" x14ac:dyDescent="0.6">
      <c r="A837" s="50"/>
      <c r="B837" s="51"/>
      <c r="C837" s="51"/>
      <c r="D837" s="52"/>
    </row>
    <row r="838" spans="1:4" ht="42.75" customHeight="1" thickBot="1" x14ac:dyDescent="0.6">
      <c r="A838" s="1"/>
      <c r="B838" s="2"/>
      <c r="C838" s="2"/>
      <c r="D838" s="3"/>
    </row>
    <row r="839" spans="1:4" ht="42.75" customHeight="1" thickBot="1" x14ac:dyDescent="0.6">
      <c r="A839" s="10"/>
      <c r="B839" s="11"/>
      <c r="C839" s="12"/>
      <c r="D839" s="11"/>
    </row>
    <row r="840" spans="1:4" ht="42.75" customHeight="1" thickBot="1" x14ac:dyDescent="0.6">
      <c r="A840" s="14"/>
      <c r="B840" s="15"/>
      <c r="C840" s="16"/>
      <c r="D840" s="17"/>
    </row>
    <row r="841" spans="1:4" ht="42.75" customHeight="1" thickBot="1" x14ac:dyDescent="0.6">
      <c r="A841" s="15"/>
      <c r="B841" s="15"/>
      <c r="C841" s="20"/>
      <c r="D841" s="21"/>
    </row>
    <row r="842" spans="1:4" ht="42.75" customHeight="1" thickBot="1" x14ac:dyDescent="0.6">
      <c r="A842" s="23"/>
      <c r="B842" s="24"/>
      <c r="C842" s="25"/>
      <c r="D842" s="26"/>
    </row>
    <row r="843" spans="1:4" ht="42.75" customHeight="1" thickBot="1" x14ac:dyDescent="0.6">
      <c r="A843" s="23"/>
      <c r="B843" s="24"/>
      <c r="C843" s="31"/>
      <c r="D843" s="32"/>
    </row>
    <row r="844" spans="1:4" ht="42.75" customHeight="1" thickBot="1" x14ac:dyDescent="0.7">
      <c r="A844" s="34"/>
      <c r="B844" s="35"/>
      <c r="C844" s="36"/>
      <c r="D844" s="32"/>
    </row>
    <row r="845" spans="1:4" ht="42.75" customHeight="1" thickBot="1" x14ac:dyDescent="0.6">
      <c r="A845" s="38"/>
      <c r="B845" s="39"/>
      <c r="C845" s="31"/>
      <c r="D845" s="32"/>
    </row>
    <row r="846" spans="1:4" ht="42.75" customHeight="1" thickBot="1" x14ac:dyDescent="0.6">
      <c r="A846" s="40"/>
      <c r="B846" s="41"/>
      <c r="C846" s="31"/>
      <c r="D846" s="32"/>
    </row>
    <row r="847" spans="1:4" ht="42.75" customHeight="1" thickBot="1" x14ac:dyDescent="0.6">
      <c r="A847" s="42"/>
      <c r="B847" s="43"/>
      <c r="C847" s="31"/>
      <c r="D847" s="32"/>
    </row>
    <row r="848" spans="1:4" ht="42.75" customHeight="1" thickBot="1" x14ac:dyDescent="0.6">
      <c r="A848" s="44"/>
      <c r="B848" s="45"/>
      <c r="C848" s="45"/>
      <c r="D848" s="46"/>
    </row>
    <row r="849" spans="1:4" ht="42.75" customHeight="1" thickBot="1" x14ac:dyDescent="0.6">
      <c r="A849" s="47"/>
      <c r="B849" s="48"/>
      <c r="C849" s="48"/>
      <c r="D849" s="49"/>
    </row>
    <row r="850" spans="1:4" ht="42.75" customHeight="1" thickBot="1" x14ac:dyDescent="0.6">
      <c r="A850" s="50"/>
      <c r="B850" s="51"/>
      <c r="C850" s="51"/>
      <c r="D850" s="52"/>
    </row>
    <row r="851" spans="1:4" ht="42.75" customHeight="1" thickBot="1" x14ac:dyDescent="0.6">
      <c r="A851" s="53"/>
      <c r="B851" s="53"/>
      <c r="C851" s="53"/>
      <c r="D851" s="53"/>
    </row>
    <row r="852" spans="1:4" ht="42.75" customHeight="1" thickBot="1" x14ac:dyDescent="0.6">
      <c r="A852" s="1"/>
      <c r="B852" s="2"/>
      <c r="C852" s="2"/>
      <c r="D852" s="3"/>
    </row>
    <row r="853" spans="1:4" ht="42.75" customHeight="1" thickBot="1" x14ac:dyDescent="0.6">
      <c r="A853" s="10"/>
      <c r="B853" s="11"/>
      <c r="C853" s="12"/>
      <c r="D853" s="11"/>
    </row>
    <row r="854" spans="1:4" ht="42.75" customHeight="1" thickBot="1" x14ac:dyDescent="0.6">
      <c r="A854" s="14"/>
      <c r="B854" s="15"/>
      <c r="C854" s="16"/>
      <c r="D854" s="17"/>
    </row>
    <row r="855" spans="1:4" ht="42.75" customHeight="1" thickBot="1" x14ac:dyDescent="0.6">
      <c r="A855" s="15"/>
      <c r="B855" s="15"/>
      <c r="C855" s="20"/>
      <c r="D855" s="21"/>
    </row>
    <row r="856" spans="1:4" ht="42.75" customHeight="1" thickBot="1" x14ac:dyDescent="0.6">
      <c r="A856" s="23"/>
      <c r="B856" s="24"/>
      <c r="C856" s="25"/>
      <c r="D856" s="26"/>
    </row>
    <row r="857" spans="1:4" ht="42.75" customHeight="1" thickBot="1" x14ac:dyDescent="0.6">
      <c r="A857" s="23"/>
      <c r="B857" s="24"/>
      <c r="C857" s="31"/>
      <c r="D857" s="32"/>
    </row>
    <row r="858" spans="1:4" ht="42.75" customHeight="1" thickBot="1" x14ac:dyDescent="0.7">
      <c r="A858" s="34"/>
      <c r="B858" s="35"/>
      <c r="C858" s="36"/>
      <c r="D858" s="32"/>
    </row>
    <row r="859" spans="1:4" ht="42.75" customHeight="1" thickBot="1" x14ac:dyDescent="0.6">
      <c r="A859" s="38"/>
      <c r="B859" s="39"/>
      <c r="C859" s="31"/>
      <c r="D859" s="32"/>
    </row>
    <row r="860" spans="1:4" ht="42.75" customHeight="1" thickBot="1" x14ac:dyDescent="0.6">
      <c r="A860" s="40"/>
      <c r="B860" s="41"/>
      <c r="C860" s="31"/>
      <c r="D860" s="32"/>
    </row>
    <row r="861" spans="1:4" ht="42.75" customHeight="1" thickBot="1" x14ac:dyDescent="0.6">
      <c r="A861" s="42"/>
      <c r="B861" s="43"/>
      <c r="C861" s="31"/>
      <c r="D861" s="32"/>
    </row>
    <row r="862" spans="1:4" ht="42.75" customHeight="1" thickBot="1" x14ac:dyDescent="0.6">
      <c r="A862" s="44"/>
      <c r="B862" s="45"/>
      <c r="C862" s="45"/>
      <c r="D862" s="46"/>
    </row>
    <row r="863" spans="1:4" ht="42.75" customHeight="1" thickBot="1" x14ac:dyDescent="0.6">
      <c r="A863" s="56"/>
      <c r="B863" s="57"/>
      <c r="C863" s="57"/>
      <c r="D863" s="58"/>
    </row>
    <row r="864" spans="1:4" ht="42.75" customHeight="1" thickBot="1" x14ac:dyDescent="0.6">
      <c r="A864" s="50"/>
      <c r="B864" s="51"/>
      <c r="C864" s="51"/>
      <c r="D864" s="52"/>
    </row>
    <row r="865" spans="1:4" ht="42.75" customHeight="1" thickBot="1" x14ac:dyDescent="0.6">
      <c r="A865" s="1"/>
      <c r="B865" s="2"/>
      <c r="C865" s="2"/>
      <c r="D865" s="3"/>
    </row>
    <row r="866" spans="1:4" ht="42.75" customHeight="1" thickBot="1" x14ac:dyDescent="0.6">
      <c r="A866" s="10"/>
      <c r="B866" s="11"/>
      <c r="C866" s="12"/>
      <c r="D866" s="11"/>
    </row>
    <row r="867" spans="1:4" ht="42.75" customHeight="1" thickBot="1" x14ac:dyDescent="0.6">
      <c r="A867" s="14"/>
      <c r="B867" s="15"/>
      <c r="C867" s="16"/>
      <c r="D867" s="17"/>
    </row>
    <row r="868" spans="1:4" ht="42.75" customHeight="1" thickBot="1" x14ac:dyDescent="0.6">
      <c r="A868" s="15"/>
      <c r="B868" s="15"/>
      <c r="C868" s="20"/>
      <c r="D868" s="21"/>
    </row>
    <row r="869" spans="1:4" ht="42.75" customHeight="1" thickBot="1" x14ac:dyDescent="0.6">
      <c r="A869" s="23"/>
      <c r="B869" s="24"/>
      <c r="C869" s="25"/>
      <c r="D869" s="26"/>
    </row>
    <row r="870" spans="1:4" ht="42.75" customHeight="1" thickBot="1" x14ac:dyDescent="0.6">
      <c r="A870" s="23"/>
      <c r="B870" s="24"/>
      <c r="C870" s="31"/>
      <c r="D870" s="32"/>
    </row>
    <row r="871" spans="1:4" ht="42.75" customHeight="1" thickBot="1" x14ac:dyDescent="0.7">
      <c r="A871" s="34"/>
      <c r="B871" s="35"/>
      <c r="C871" s="36"/>
      <c r="D871" s="32"/>
    </row>
    <row r="872" spans="1:4" ht="42.75" customHeight="1" thickBot="1" x14ac:dyDescent="0.6">
      <c r="A872" s="38"/>
      <c r="B872" s="39"/>
      <c r="C872" s="31"/>
      <c r="D872" s="32"/>
    </row>
    <row r="873" spans="1:4" ht="42.75" customHeight="1" thickBot="1" x14ac:dyDescent="0.6">
      <c r="A873" s="40"/>
      <c r="B873" s="41"/>
      <c r="C873" s="31"/>
      <c r="D873" s="32"/>
    </row>
    <row r="874" spans="1:4" ht="42.75" customHeight="1" thickBot="1" x14ac:dyDescent="0.6">
      <c r="A874" s="42"/>
      <c r="B874" s="43"/>
      <c r="C874" s="31"/>
      <c r="D874" s="32"/>
    </row>
    <row r="875" spans="1:4" ht="42.75" customHeight="1" thickBot="1" x14ac:dyDescent="0.6">
      <c r="A875" s="44"/>
      <c r="B875" s="45"/>
      <c r="C875" s="45"/>
      <c r="D875" s="46"/>
    </row>
    <row r="876" spans="1:4" ht="42.75" customHeight="1" thickBot="1" x14ac:dyDescent="0.6">
      <c r="A876" s="47"/>
      <c r="B876" s="48"/>
      <c r="C876" s="48"/>
      <c r="D876" s="49"/>
    </row>
    <row r="877" spans="1:4" ht="42.75" customHeight="1" thickBot="1" x14ac:dyDescent="0.6">
      <c r="A877" s="50"/>
      <c r="B877" s="51"/>
      <c r="C877" s="51"/>
      <c r="D877" s="52"/>
    </row>
    <row r="878" spans="1:4" ht="42.75" customHeight="1" thickBot="1" x14ac:dyDescent="0.6">
      <c r="A878" s="53"/>
      <c r="B878" s="53"/>
      <c r="C878" s="53"/>
      <c r="D878" s="53"/>
    </row>
    <row r="879" spans="1:4" ht="42.75" customHeight="1" thickBot="1" x14ac:dyDescent="0.6">
      <c r="A879" s="1"/>
      <c r="B879" s="2"/>
      <c r="C879" s="2"/>
      <c r="D879" s="3"/>
    </row>
    <row r="880" spans="1:4" ht="42.75" customHeight="1" thickBot="1" x14ac:dyDescent="0.6">
      <c r="A880" s="10"/>
      <c r="B880" s="11"/>
      <c r="C880" s="12"/>
      <c r="D880" s="11"/>
    </row>
    <row r="881" spans="1:4" ht="42.75" customHeight="1" thickBot="1" x14ac:dyDescent="0.6">
      <c r="A881" s="14"/>
      <c r="B881" s="15"/>
      <c r="C881" s="16"/>
      <c r="D881" s="17"/>
    </row>
    <row r="882" spans="1:4" ht="42.75" customHeight="1" thickBot="1" x14ac:dyDescent="0.6">
      <c r="A882" s="15"/>
      <c r="B882" s="15"/>
      <c r="C882" s="20"/>
      <c r="D882" s="21"/>
    </row>
    <row r="883" spans="1:4" ht="42.75" customHeight="1" thickBot="1" x14ac:dyDescent="0.6">
      <c r="A883" s="23"/>
      <c r="B883" s="24"/>
      <c r="C883" s="25"/>
      <c r="D883" s="26"/>
    </row>
    <row r="884" spans="1:4" ht="42.75" customHeight="1" thickBot="1" x14ac:dyDescent="0.6">
      <c r="A884" s="23"/>
      <c r="B884" s="24"/>
      <c r="C884" s="31"/>
      <c r="D884" s="32"/>
    </row>
    <row r="885" spans="1:4" ht="42.75" customHeight="1" thickBot="1" x14ac:dyDescent="0.7">
      <c r="A885" s="34"/>
      <c r="B885" s="35"/>
      <c r="C885" s="36"/>
      <c r="D885" s="32"/>
    </row>
    <row r="886" spans="1:4" ht="42.75" customHeight="1" thickBot="1" x14ac:dyDescent="0.6">
      <c r="A886" s="38"/>
      <c r="B886" s="39"/>
      <c r="C886" s="31"/>
      <c r="D886" s="32"/>
    </row>
    <row r="887" spans="1:4" ht="42.75" customHeight="1" thickBot="1" x14ac:dyDescent="0.6">
      <c r="A887" s="40"/>
      <c r="B887" s="41"/>
      <c r="C887" s="31"/>
      <c r="D887" s="32"/>
    </row>
    <row r="888" spans="1:4" ht="42.75" customHeight="1" thickBot="1" x14ac:dyDescent="0.6">
      <c r="A888" s="42"/>
      <c r="B888" s="43"/>
      <c r="C888" s="31"/>
      <c r="D888" s="32"/>
    </row>
    <row r="889" spans="1:4" ht="42.75" customHeight="1" thickBot="1" x14ac:dyDescent="0.6">
      <c r="A889" s="44"/>
      <c r="B889" s="45"/>
      <c r="C889" s="45"/>
      <c r="D889" s="46"/>
    </row>
    <row r="890" spans="1:4" ht="42.75" customHeight="1" thickBot="1" x14ac:dyDescent="0.6">
      <c r="A890" s="56"/>
      <c r="B890" s="57"/>
      <c r="C890" s="57"/>
      <c r="D890" s="58"/>
    </row>
    <row r="891" spans="1:4" ht="42.75" customHeight="1" thickBot="1" x14ac:dyDescent="0.6">
      <c r="A891" s="50"/>
      <c r="B891" s="51"/>
      <c r="C891" s="51"/>
      <c r="D891" s="52"/>
    </row>
    <row r="892" spans="1:4" ht="42.75" customHeight="1" thickBot="1" x14ac:dyDescent="0.6">
      <c r="A892" s="1"/>
      <c r="B892" s="2"/>
      <c r="C892" s="2"/>
      <c r="D892" s="3"/>
    </row>
    <row r="893" spans="1:4" ht="42.75" customHeight="1" thickBot="1" x14ac:dyDescent="0.6">
      <c r="A893" s="10"/>
      <c r="B893" s="11"/>
      <c r="C893" s="12"/>
      <c r="D893" s="11"/>
    </row>
    <row r="894" spans="1:4" ht="42.75" customHeight="1" thickBot="1" x14ac:dyDescent="0.6">
      <c r="A894" s="14"/>
      <c r="B894" s="15"/>
      <c r="C894" s="16"/>
      <c r="D894" s="17"/>
    </row>
    <row r="895" spans="1:4" ht="42.75" customHeight="1" thickBot="1" x14ac:dyDescent="0.6">
      <c r="A895" s="15"/>
      <c r="B895" s="15"/>
      <c r="C895" s="20"/>
      <c r="D895" s="21"/>
    </row>
    <row r="896" spans="1:4" ht="42.75" customHeight="1" thickBot="1" x14ac:dyDescent="0.6">
      <c r="A896" s="23"/>
      <c r="B896" s="24"/>
      <c r="C896" s="25"/>
      <c r="D896" s="26"/>
    </row>
    <row r="897" spans="1:4" ht="42.75" customHeight="1" thickBot="1" x14ac:dyDescent="0.6">
      <c r="A897" s="23"/>
      <c r="B897" s="24"/>
      <c r="C897" s="31"/>
      <c r="D897" s="32"/>
    </row>
    <row r="898" spans="1:4" ht="42.75" customHeight="1" thickBot="1" x14ac:dyDescent="0.7">
      <c r="A898" s="34"/>
      <c r="B898" s="35"/>
      <c r="C898" s="36"/>
      <c r="D898" s="32"/>
    </row>
    <row r="899" spans="1:4" ht="42.75" customHeight="1" thickBot="1" x14ac:dyDescent="0.6">
      <c r="A899" s="38"/>
      <c r="B899" s="39"/>
      <c r="C899" s="31"/>
      <c r="D899" s="32"/>
    </row>
    <row r="900" spans="1:4" ht="42.75" customHeight="1" thickBot="1" x14ac:dyDescent="0.6">
      <c r="A900" s="40"/>
      <c r="B900" s="41"/>
      <c r="C900" s="31"/>
      <c r="D900" s="32"/>
    </row>
    <row r="901" spans="1:4" ht="42.75" customHeight="1" thickBot="1" x14ac:dyDescent="0.6">
      <c r="A901" s="42"/>
      <c r="B901" s="43"/>
      <c r="C901" s="31"/>
      <c r="D901" s="32"/>
    </row>
    <row r="902" spans="1:4" ht="42.75" customHeight="1" thickBot="1" x14ac:dyDescent="0.6">
      <c r="A902" s="44"/>
      <c r="B902" s="45"/>
      <c r="C902" s="45"/>
      <c r="D902" s="46"/>
    </row>
    <row r="903" spans="1:4" ht="42.75" customHeight="1" thickBot="1" x14ac:dyDescent="0.6">
      <c r="A903" s="47"/>
      <c r="B903" s="48"/>
      <c r="C903" s="48"/>
      <c r="D903" s="49"/>
    </row>
    <row r="904" spans="1:4" ht="42.75" customHeight="1" thickBot="1" x14ac:dyDescent="0.6">
      <c r="A904" s="50"/>
      <c r="B904" s="51"/>
      <c r="C904" s="51"/>
      <c r="D904" s="52"/>
    </row>
    <row r="905" spans="1:4" ht="42.75" customHeight="1" thickBot="1" x14ac:dyDescent="0.6">
      <c r="A905" s="53"/>
      <c r="B905" s="53"/>
      <c r="C905" s="53"/>
      <c r="D905" s="53"/>
    </row>
    <row r="906" spans="1:4" ht="42.75" customHeight="1" thickBot="1" x14ac:dyDescent="0.6">
      <c r="A906" s="1"/>
      <c r="B906" s="2"/>
      <c r="C906" s="2"/>
      <c r="D906" s="3"/>
    </row>
    <row r="907" spans="1:4" ht="42.75" customHeight="1" thickBot="1" x14ac:dyDescent="0.6">
      <c r="A907" s="10"/>
      <c r="B907" s="11"/>
      <c r="C907" s="12"/>
      <c r="D907" s="11"/>
    </row>
    <row r="908" spans="1:4" ht="42.75" customHeight="1" thickBot="1" x14ac:dyDescent="0.6">
      <c r="A908" s="14"/>
      <c r="B908" s="15"/>
      <c r="C908" s="16"/>
      <c r="D908" s="17"/>
    </row>
    <row r="909" spans="1:4" ht="42.75" customHeight="1" thickBot="1" x14ac:dyDescent="0.6">
      <c r="A909" s="15"/>
      <c r="B909" s="15"/>
      <c r="C909" s="20"/>
      <c r="D909" s="21"/>
    </row>
    <row r="910" spans="1:4" ht="42.75" customHeight="1" thickBot="1" x14ac:dyDescent="0.6">
      <c r="A910" s="23"/>
      <c r="B910" s="24"/>
      <c r="C910" s="25"/>
      <c r="D910" s="26"/>
    </row>
    <row r="911" spans="1:4" ht="42.75" customHeight="1" thickBot="1" x14ac:dyDescent="0.6">
      <c r="A911" s="23"/>
      <c r="B911" s="24"/>
      <c r="C911" s="31"/>
      <c r="D911" s="32"/>
    </row>
    <row r="912" spans="1:4" ht="42.75" customHeight="1" thickBot="1" x14ac:dyDescent="0.7">
      <c r="A912" s="34"/>
      <c r="B912" s="35"/>
      <c r="C912" s="36"/>
      <c r="D912" s="32"/>
    </row>
    <row r="913" spans="1:4" ht="42.75" customHeight="1" thickBot="1" x14ac:dyDescent="0.6">
      <c r="A913" s="38"/>
      <c r="B913" s="39"/>
      <c r="C913" s="31"/>
      <c r="D913" s="32"/>
    </row>
    <row r="914" spans="1:4" ht="42.75" customHeight="1" thickBot="1" x14ac:dyDescent="0.6">
      <c r="A914" s="40"/>
      <c r="B914" s="41"/>
      <c r="C914" s="31"/>
      <c r="D914" s="32"/>
    </row>
    <row r="915" spans="1:4" ht="42.75" customHeight="1" thickBot="1" x14ac:dyDescent="0.6">
      <c r="A915" s="42"/>
      <c r="B915" s="43"/>
      <c r="C915" s="31"/>
      <c r="D915" s="32"/>
    </row>
    <row r="916" spans="1:4" ht="42.75" customHeight="1" thickBot="1" x14ac:dyDescent="0.6">
      <c r="A916" s="44"/>
      <c r="B916" s="45"/>
      <c r="C916" s="45"/>
      <c r="D916" s="46"/>
    </row>
    <row r="917" spans="1:4" ht="42.75" customHeight="1" thickBot="1" x14ac:dyDescent="0.6">
      <c r="A917" s="56"/>
      <c r="B917" s="57"/>
      <c r="C917" s="57"/>
      <c r="D917" s="58"/>
    </row>
    <row r="918" spans="1:4" ht="42.75" customHeight="1" thickBot="1" x14ac:dyDescent="0.6">
      <c r="A918" s="50"/>
      <c r="B918" s="51"/>
      <c r="C918" s="51"/>
      <c r="D918" s="52"/>
    </row>
    <row r="919" spans="1:4" ht="42.75" customHeight="1" thickBot="1" x14ac:dyDescent="0.6">
      <c r="A919" s="1"/>
      <c r="B919" s="2"/>
      <c r="C919" s="2"/>
      <c r="D919" s="3"/>
    </row>
    <row r="920" spans="1:4" ht="42.75" customHeight="1" thickBot="1" x14ac:dyDescent="0.6">
      <c r="A920" s="10"/>
      <c r="B920" s="11"/>
      <c r="C920" s="12"/>
      <c r="D920" s="11"/>
    </row>
    <row r="921" spans="1:4" ht="42.75" customHeight="1" thickBot="1" x14ac:dyDescent="0.6">
      <c r="A921" s="14"/>
      <c r="B921" s="15"/>
      <c r="C921" s="16"/>
      <c r="D921" s="17"/>
    </row>
    <row r="922" spans="1:4" ht="42.75" customHeight="1" thickBot="1" x14ac:dyDescent="0.6">
      <c r="A922" s="15"/>
      <c r="B922" s="15"/>
      <c r="C922" s="20"/>
      <c r="D922" s="21"/>
    </row>
    <row r="923" spans="1:4" ht="42.75" customHeight="1" thickBot="1" x14ac:dyDescent="0.6">
      <c r="A923" s="23"/>
      <c r="B923" s="24"/>
      <c r="C923" s="25"/>
      <c r="D923" s="26"/>
    </row>
    <row r="924" spans="1:4" ht="42.75" customHeight="1" thickBot="1" x14ac:dyDescent="0.6">
      <c r="A924" s="23"/>
      <c r="B924" s="24"/>
      <c r="C924" s="31"/>
      <c r="D924" s="32"/>
    </row>
    <row r="925" spans="1:4" ht="42.75" customHeight="1" thickBot="1" x14ac:dyDescent="0.7">
      <c r="A925" s="34"/>
      <c r="B925" s="35"/>
      <c r="C925" s="36"/>
      <c r="D925" s="32"/>
    </row>
    <row r="926" spans="1:4" ht="42.75" customHeight="1" thickBot="1" x14ac:dyDescent="0.6">
      <c r="A926" s="38"/>
      <c r="B926" s="39"/>
      <c r="C926" s="31"/>
      <c r="D926" s="32"/>
    </row>
    <row r="927" spans="1:4" ht="42.75" customHeight="1" thickBot="1" x14ac:dyDescent="0.6">
      <c r="A927" s="40"/>
      <c r="B927" s="41"/>
      <c r="C927" s="31"/>
      <c r="D927" s="32"/>
    </row>
    <row r="928" spans="1:4" ht="42.75" customHeight="1" thickBot="1" x14ac:dyDescent="0.6">
      <c r="A928" s="42"/>
      <c r="B928" s="43"/>
      <c r="C928" s="31"/>
      <c r="D928" s="32"/>
    </row>
    <row r="929" spans="1:4" ht="42.75" customHeight="1" thickBot="1" x14ac:dyDescent="0.6">
      <c r="A929" s="44"/>
      <c r="B929" s="45"/>
      <c r="C929" s="45"/>
      <c r="D929" s="46"/>
    </row>
    <row r="930" spans="1:4" ht="42.75" customHeight="1" thickBot="1" x14ac:dyDescent="0.6">
      <c r="A930" s="47"/>
      <c r="B930" s="48"/>
      <c r="C930" s="48"/>
      <c r="D930" s="49"/>
    </row>
    <row r="931" spans="1:4" ht="42.75" customHeight="1" thickBot="1" x14ac:dyDescent="0.6">
      <c r="A931" s="50"/>
      <c r="B931" s="51"/>
      <c r="C931" s="51"/>
      <c r="D931" s="52"/>
    </row>
    <row r="932" spans="1:4" ht="42.75" customHeight="1" thickBot="1" x14ac:dyDescent="0.6">
      <c r="A932" s="53"/>
      <c r="B932" s="53"/>
      <c r="C932" s="53"/>
      <c r="D932" s="53"/>
    </row>
    <row r="933" spans="1:4" ht="42.75" customHeight="1" thickBot="1" x14ac:dyDescent="0.6">
      <c r="A933" s="1"/>
      <c r="B933" s="2"/>
      <c r="C933" s="2"/>
      <c r="D933" s="3"/>
    </row>
    <row r="934" spans="1:4" ht="42.75" customHeight="1" thickBot="1" x14ac:dyDescent="0.6">
      <c r="A934" s="10"/>
      <c r="B934" s="11"/>
      <c r="C934" s="12"/>
      <c r="D934" s="11"/>
    </row>
    <row r="935" spans="1:4" ht="42.75" customHeight="1" thickBot="1" x14ac:dyDescent="0.6">
      <c r="A935" s="14"/>
      <c r="B935" s="15"/>
      <c r="C935" s="16"/>
      <c r="D935" s="17"/>
    </row>
    <row r="936" spans="1:4" ht="42.75" customHeight="1" thickBot="1" x14ac:dyDescent="0.6">
      <c r="A936" s="15"/>
      <c r="B936" s="15"/>
      <c r="C936" s="20"/>
      <c r="D936" s="21"/>
    </row>
    <row r="937" spans="1:4" ht="42.75" customHeight="1" thickBot="1" x14ac:dyDescent="0.6">
      <c r="A937" s="23"/>
      <c r="B937" s="24"/>
      <c r="C937" s="25"/>
      <c r="D937" s="26"/>
    </row>
    <row r="938" spans="1:4" ht="42.75" customHeight="1" thickBot="1" x14ac:dyDescent="0.6">
      <c r="A938" s="23"/>
      <c r="B938" s="24"/>
      <c r="C938" s="31"/>
      <c r="D938" s="32"/>
    </row>
    <row r="939" spans="1:4" ht="42.75" customHeight="1" thickBot="1" x14ac:dyDescent="0.7">
      <c r="A939" s="34"/>
      <c r="B939" s="35"/>
      <c r="C939" s="36"/>
      <c r="D939" s="32"/>
    </row>
    <row r="940" spans="1:4" ht="42.75" customHeight="1" thickBot="1" x14ac:dyDescent="0.6">
      <c r="A940" s="38"/>
      <c r="B940" s="39"/>
      <c r="C940" s="31"/>
      <c r="D940" s="32"/>
    </row>
    <row r="941" spans="1:4" ht="42.75" customHeight="1" thickBot="1" x14ac:dyDescent="0.6">
      <c r="A941" s="40"/>
      <c r="B941" s="41"/>
      <c r="C941" s="31"/>
      <c r="D941" s="32"/>
    </row>
    <row r="942" spans="1:4" ht="42.75" customHeight="1" thickBot="1" x14ac:dyDescent="0.6">
      <c r="A942" s="42"/>
      <c r="B942" s="43"/>
      <c r="C942" s="31"/>
      <c r="D942" s="32"/>
    </row>
    <row r="943" spans="1:4" ht="42.75" customHeight="1" thickBot="1" x14ac:dyDescent="0.6">
      <c r="A943" s="44"/>
      <c r="B943" s="45"/>
      <c r="C943" s="45"/>
      <c r="D943" s="46"/>
    </row>
    <row r="944" spans="1:4" ht="42.75" customHeight="1" thickBot="1" x14ac:dyDescent="0.6">
      <c r="A944" s="56"/>
      <c r="B944" s="57"/>
      <c r="C944" s="57"/>
      <c r="D944" s="58"/>
    </row>
    <row r="945" spans="1:4" ht="42.75" customHeight="1" thickBot="1" x14ac:dyDescent="0.6">
      <c r="A945" s="50"/>
      <c r="B945" s="51"/>
      <c r="C945" s="51"/>
      <c r="D945" s="52"/>
    </row>
    <row r="946" spans="1:4" ht="42.75" customHeight="1" thickBot="1" x14ac:dyDescent="0.6">
      <c r="A946" s="1"/>
      <c r="B946" s="2"/>
      <c r="C946" s="2"/>
      <c r="D946" s="3"/>
    </row>
    <row r="947" spans="1:4" ht="42.75" customHeight="1" thickBot="1" x14ac:dyDescent="0.6">
      <c r="A947" s="10"/>
      <c r="B947" s="11"/>
      <c r="C947" s="12"/>
      <c r="D947" s="11"/>
    </row>
    <row r="948" spans="1:4" ht="42.75" customHeight="1" thickBot="1" x14ac:dyDescent="0.6">
      <c r="A948" s="14"/>
      <c r="B948" s="15"/>
      <c r="C948" s="16"/>
      <c r="D948" s="17"/>
    </row>
    <row r="949" spans="1:4" ht="42.75" customHeight="1" thickBot="1" x14ac:dyDescent="0.6">
      <c r="A949" s="15"/>
      <c r="B949" s="15"/>
      <c r="C949" s="20"/>
      <c r="D949" s="21"/>
    </row>
    <row r="950" spans="1:4" ht="42.75" customHeight="1" thickBot="1" x14ac:dyDescent="0.6">
      <c r="A950" s="23"/>
      <c r="B950" s="24"/>
      <c r="C950" s="25"/>
      <c r="D950" s="26"/>
    </row>
    <row r="951" spans="1:4" ht="42.75" customHeight="1" thickBot="1" x14ac:dyDescent="0.6">
      <c r="A951" s="23"/>
      <c r="B951" s="24"/>
      <c r="C951" s="31"/>
      <c r="D951" s="32"/>
    </row>
    <row r="952" spans="1:4" ht="42.75" customHeight="1" thickBot="1" x14ac:dyDescent="0.7">
      <c r="A952" s="34"/>
      <c r="B952" s="35"/>
      <c r="C952" s="36"/>
      <c r="D952" s="32"/>
    </row>
    <row r="953" spans="1:4" ht="42.75" customHeight="1" thickBot="1" x14ac:dyDescent="0.6">
      <c r="A953" s="38"/>
      <c r="B953" s="39"/>
      <c r="C953" s="31"/>
      <c r="D953" s="32"/>
    </row>
    <row r="954" spans="1:4" ht="42.75" customHeight="1" thickBot="1" x14ac:dyDescent="0.6">
      <c r="A954" s="40"/>
      <c r="B954" s="41"/>
      <c r="C954" s="31"/>
      <c r="D954" s="32"/>
    </row>
    <row r="955" spans="1:4" ht="42.75" customHeight="1" thickBot="1" x14ac:dyDescent="0.6">
      <c r="A955" s="42"/>
      <c r="B955" s="43"/>
      <c r="C955" s="31"/>
      <c r="D955" s="32"/>
    </row>
    <row r="956" spans="1:4" ht="42.75" customHeight="1" thickBot="1" x14ac:dyDescent="0.6">
      <c r="A956" s="44"/>
      <c r="B956" s="45"/>
      <c r="C956" s="45"/>
      <c r="D956" s="46"/>
    </row>
    <row r="957" spans="1:4" ht="42.75" customHeight="1" thickBot="1" x14ac:dyDescent="0.6">
      <c r="A957" s="47"/>
      <c r="B957" s="48"/>
      <c r="C957" s="48"/>
      <c r="D957" s="49"/>
    </row>
    <row r="958" spans="1:4" ht="42.75" customHeight="1" thickBot="1" x14ac:dyDescent="0.6">
      <c r="A958" s="50"/>
      <c r="B958" s="51"/>
      <c r="C958" s="51"/>
      <c r="D958" s="52"/>
    </row>
    <row r="959" spans="1:4" ht="42.75" customHeight="1" thickBot="1" x14ac:dyDescent="0.6">
      <c r="A959" s="53"/>
      <c r="B959" s="53"/>
      <c r="C959" s="53"/>
      <c r="D959" s="53"/>
    </row>
    <row r="960" spans="1:4" ht="42.75" customHeight="1" thickBot="1" x14ac:dyDescent="0.6">
      <c r="A960" s="1"/>
      <c r="B960" s="2"/>
      <c r="C960" s="2"/>
      <c r="D960" s="3"/>
    </row>
    <row r="961" spans="1:4" ht="42.75" customHeight="1" thickBot="1" x14ac:dyDescent="0.6">
      <c r="A961" s="10"/>
      <c r="B961" s="11"/>
      <c r="C961" s="12"/>
      <c r="D961" s="11"/>
    </row>
    <row r="962" spans="1:4" ht="42.75" customHeight="1" thickBot="1" x14ac:dyDescent="0.6">
      <c r="A962" s="14"/>
      <c r="B962" s="15"/>
      <c r="C962" s="16"/>
      <c r="D962" s="17"/>
    </row>
    <row r="963" spans="1:4" ht="42.75" customHeight="1" thickBot="1" x14ac:dyDescent="0.6">
      <c r="A963" s="15"/>
      <c r="B963" s="15"/>
      <c r="C963" s="20"/>
      <c r="D963" s="21"/>
    </row>
    <row r="964" spans="1:4" ht="42.75" customHeight="1" thickBot="1" x14ac:dyDescent="0.6">
      <c r="A964" s="23"/>
      <c r="B964" s="24"/>
      <c r="C964" s="25"/>
      <c r="D964" s="26"/>
    </row>
    <row r="965" spans="1:4" ht="42.75" customHeight="1" thickBot="1" x14ac:dyDescent="0.6">
      <c r="A965" s="23"/>
      <c r="B965" s="24"/>
      <c r="C965" s="31"/>
      <c r="D965" s="32"/>
    </row>
    <row r="966" spans="1:4" ht="42.75" customHeight="1" thickBot="1" x14ac:dyDescent="0.7">
      <c r="A966" s="34"/>
      <c r="B966" s="35"/>
      <c r="C966" s="36"/>
      <c r="D966" s="32"/>
    </row>
    <row r="967" spans="1:4" ht="42.75" customHeight="1" thickBot="1" x14ac:dyDescent="0.6">
      <c r="A967" s="38"/>
      <c r="B967" s="39"/>
      <c r="C967" s="31"/>
      <c r="D967" s="32"/>
    </row>
    <row r="968" spans="1:4" ht="42.75" customHeight="1" thickBot="1" x14ac:dyDescent="0.6">
      <c r="A968" s="40"/>
      <c r="B968" s="41"/>
      <c r="C968" s="31"/>
      <c r="D968" s="32"/>
    </row>
    <row r="969" spans="1:4" ht="42.75" customHeight="1" thickBot="1" x14ac:dyDescent="0.6">
      <c r="A969" s="42"/>
      <c r="B969" s="43"/>
      <c r="C969" s="31"/>
      <c r="D969" s="32"/>
    </row>
    <row r="970" spans="1:4" ht="42.75" customHeight="1" thickBot="1" x14ac:dyDescent="0.6">
      <c r="A970" s="44"/>
      <c r="B970" s="45"/>
      <c r="C970" s="45"/>
      <c r="D970" s="46"/>
    </row>
    <row r="971" spans="1:4" ht="42.75" customHeight="1" thickBot="1" x14ac:dyDescent="0.6">
      <c r="A971" s="56"/>
      <c r="B971" s="57"/>
      <c r="C971" s="57"/>
      <c r="D971" s="58"/>
    </row>
    <row r="972" spans="1:4" ht="42.75" customHeight="1" thickBot="1" x14ac:dyDescent="0.6">
      <c r="A972" s="50"/>
      <c r="B972" s="51"/>
      <c r="C972" s="51"/>
      <c r="D972" s="52"/>
    </row>
    <row r="973" spans="1:4" ht="42.75" customHeight="1" thickBot="1" x14ac:dyDescent="0.6">
      <c r="A973" s="1"/>
      <c r="B973" s="2"/>
      <c r="C973" s="2"/>
      <c r="D973" s="3"/>
    </row>
    <row r="974" spans="1:4" ht="42.75" customHeight="1" thickBot="1" x14ac:dyDescent="0.6">
      <c r="A974" s="10"/>
      <c r="B974" s="11"/>
      <c r="C974" s="12"/>
      <c r="D974" s="11"/>
    </row>
    <row r="975" spans="1:4" ht="42.75" customHeight="1" thickBot="1" x14ac:dyDescent="0.6">
      <c r="A975" s="14"/>
      <c r="B975" s="15"/>
      <c r="C975" s="16"/>
      <c r="D975" s="17"/>
    </row>
    <row r="976" spans="1:4" ht="42.75" customHeight="1" thickBot="1" x14ac:dyDescent="0.6">
      <c r="A976" s="15"/>
      <c r="B976" s="15"/>
      <c r="C976" s="20"/>
      <c r="D976" s="21"/>
    </row>
    <row r="977" spans="1:4" ht="42.75" customHeight="1" thickBot="1" x14ac:dyDescent="0.6">
      <c r="A977" s="23"/>
      <c r="B977" s="24"/>
      <c r="C977" s="25"/>
      <c r="D977" s="26"/>
    </row>
    <row r="978" spans="1:4" ht="42.75" customHeight="1" thickBot="1" x14ac:dyDescent="0.6">
      <c r="A978" s="23"/>
      <c r="B978" s="24"/>
      <c r="C978" s="31"/>
      <c r="D978" s="32"/>
    </row>
    <row r="979" spans="1:4" ht="42.75" customHeight="1" thickBot="1" x14ac:dyDescent="0.7">
      <c r="A979" s="34"/>
      <c r="B979" s="35"/>
      <c r="C979" s="36"/>
      <c r="D979" s="32"/>
    </row>
    <row r="980" spans="1:4" ht="42.75" customHeight="1" thickBot="1" x14ac:dyDescent="0.6">
      <c r="A980" s="38"/>
      <c r="B980" s="39"/>
      <c r="C980" s="31"/>
      <c r="D980" s="32"/>
    </row>
    <row r="981" spans="1:4" ht="42.75" customHeight="1" thickBot="1" x14ac:dyDescent="0.6">
      <c r="A981" s="40"/>
      <c r="B981" s="41"/>
      <c r="C981" s="31"/>
      <c r="D981" s="32"/>
    </row>
    <row r="982" spans="1:4" ht="42.75" customHeight="1" thickBot="1" x14ac:dyDescent="0.6">
      <c r="A982" s="42"/>
      <c r="B982" s="43"/>
      <c r="C982" s="31"/>
      <c r="D982" s="32"/>
    </row>
    <row r="983" spans="1:4" ht="42.75" customHeight="1" thickBot="1" x14ac:dyDescent="0.6">
      <c r="A983" s="44"/>
      <c r="B983" s="45"/>
      <c r="C983" s="45"/>
      <c r="D983" s="46"/>
    </row>
    <row r="984" spans="1:4" ht="42.75" customHeight="1" thickBot="1" x14ac:dyDescent="0.6">
      <c r="A984" s="47"/>
      <c r="B984" s="48"/>
      <c r="C984" s="48"/>
      <c r="D984" s="49"/>
    </row>
    <row r="985" spans="1:4" ht="42.75" customHeight="1" thickBot="1" x14ac:dyDescent="0.6">
      <c r="A985" s="50"/>
      <c r="B985" s="51"/>
      <c r="C985" s="51"/>
      <c r="D985" s="52"/>
    </row>
    <row r="986" spans="1:4" ht="42.75" customHeight="1" thickBot="1" x14ac:dyDescent="0.6">
      <c r="A986" s="53"/>
      <c r="B986" s="53"/>
      <c r="C986" s="53"/>
      <c r="D986" s="53"/>
    </row>
    <row r="987" spans="1:4" ht="42.75" customHeight="1" thickBot="1" x14ac:dyDescent="0.6">
      <c r="A987" s="1"/>
      <c r="B987" s="2"/>
      <c r="C987" s="2"/>
      <c r="D987" s="3"/>
    </row>
    <row r="988" spans="1:4" ht="42.75" customHeight="1" thickBot="1" x14ac:dyDescent="0.6">
      <c r="A988" s="10"/>
      <c r="B988" s="11"/>
      <c r="C988" s="12"/>
      <c r="D988" s="11"/>
    </row>
    <row r="989" spans="1:4" ht="42.75" customHeight="1" thickBot="1" x14ac:dyDescent="0.6">
      <c r="A989" s="14"/>
      <c r="B989" s="15"/>
      <c r="C989" s="16"/>
      <c r="D989" s="17"/>
    </row>
    <row r="990" spans="1:4" ht="42.75" customHeight="1" thickBot="1" x14ac:dyDescent="0.6">
      <c r="A990" s="15"/>
      <c r="B990" s="15"/>
      <c r="C990" s="20"/>
      <c r="D990" s="21"/>
    </row>
    <row r="991" spans="1:4" ht="42.75" customHeight="1" thickBot="1" x14ac:dyDescent="0.6">
      <c r="A991" s="23"/>
      <c r="B991" s="24"/>
      <c r="C991" s="25"/>
      <c r="D991" s="26"/>
    </row>
    <row r="992" spans="1:4" ht="42.75" customHeight="1" thickBot="1" x14ac:dyDescent="0.6">
      <c r="A992" s="23"/>
      <c r="B992" s="24"/>
      <c r="C992" s="31"/>
      <c r="D992" s="32"/>
    </row>
    <row r="993" spans="1:4" ht="42.75" customHeight="1" thickBot="1" x14ac:dyDescent="0.7">
      <c r="A993" s="34"/>
      <c r="B993" s="35"/>
      <c r="C993" s="36"/>
      <c r="D993" s="32"/>
    </row>
    <row r="994" spans="1:4" ht="42.75" customHeight="1" thickBot="1" x14ac:dyDescent="0.6">
      <c r="A994" s="38"/>
      <c r="B994" s="39"/>
      <c r="C994" s="31"/>
      <c r="D994" s="32"/>
    </row>
    <row r="995" spans="1:4" ht="42.75" customHeight="1" thickBot="1" x14ac:dyDescent="0.6">
      <c r="A995" s="40"/>
      <c r="B995" s="41"/>
      <c r="C995" s="31"/>
      <c r="D995" s="32"/>
    </row>
    <row r="996" spans="1:4" ht="42.75" customHeight="1" thickBot="1" x14ac:dyDescent="0.6">
      <c r="A996" s="42"/>
      <c r="B996" s="43"/>
      <c r="C996" s="31"/>
      <c r="D996" s="32"/>
    </row>
    <row r="997" spans="1:4" ht="42.75" customHeight="1" thickBot="1" x14ac:dyDescent="0.6">
      <c r="A997" s="44"/>
      <c r="B997" s="45"/>
      <c r="C997" s="45"/>
      <c r="D997" s="46"/>
    </row>
    <row r="998" spans="1:4" ht="42.75" customHeight="1" thickBot="1" x14ac:dyDescent="0.6">
      <c r="A998" s="56"/>
      <c r="B998" s="57"/>
      <c r="C998" s="57"/>
      <c r="D998" s="58"/>
    </row>
    <row r="999" spans="1:4" ht="42.75" customHeight="1" thickBot="1" x14ac:dyDescent="0.6">
      <c r="A999" s="50"/>
      <c r="B999" s="51"/>
      <c r="C999" s="51"/>
      <c r="D999" s="52"/>
    </row>
    <row r="1000" spans="1:4" ht="42.75" customHeight="1" thickBot="1" x14ac:dyDescent="0.6">
      <c r="A1000" s="1"/>
      <c r="B1000" s="2"/>
      <c r="C1000" s="2"/>
      <c r="D1000" s="3"/>
    </row>
    <row r="1001" spans="1:4" ht="42.75" customHeight="1" thickBot="1" x14ac:dyDescent="0.6">
      <c r="A1001" s="10"/>
      <c r="B1001" s="11"/>
      <c r="C1001" s="12"/>
      <c r="D1001" s="11"/>
    </row>
    <row r="1002" spans="1:4" ht="42.75" customHeight="1" thickBot="1" x14ac:dyDescent="0.6">
      <c r="A1002" s="14"/>
      <c r="B1002" s="15"/>
      <c r="C1002" s="16"/>
      <c r="D1002" s="17"/>
    </row>
    <row r="1003" spans="1:4" ht="42.75" customHeight="1" thickBot="1" x14ac:dyDescent="0.6">
      <c r="A1003" s="15"/>
      <c r="B1003" s="15"/>
      <c r="C1003" s="20"/>
      <c r="D1003" s="21"/>
    </row>
    <row r="1004" spans="1:4" ht="42.75" customHeight="1" thickBot="1" x14ac:dyDescent="0.6">
      <c r="A1004" s="23"/>
      <c r="B1004" s="24"/>
      <c r="C1004" s="25"/>
      <c r="D1004" s="26"/>
    </row>
    <row r="1005" spans="1:4" ht="42.75" customHeight="1" thickBot="1" x14ac:dyDescent="0.6">
      <c r="A1005" s="23"/>
      <c r="B1005" s="24"/>
      <c r="C1005" s="31"/>
      <c r="D1005" s="32"/>
    </row>
    <row r="1006" spans="1:4" ht="42.75" customHeight="1" thickBot="1" x14ac:dyDescent="0.7">
      <c r="A1006" s="34"/>
      <c r="B1006" s="35"/>
      <c r="C1006" s="36"/>
      <c r="D1006" s="32"/>
    </row>
    <row r="1007" spans="1:4" ht="42.75" customHeight="1" thickBot="1" x14ac:dyDescent="0.6">
      <c r="A1007" s="38"/>
      <c r="B1007" s="39"/>
      <c r="C1007" s="31"/>
      <c r="D1007" s="32"/>
    </row>
    <row r="1008" spans="1:4" ht="42.75" customHeight="1" thickBot="1" x14ac:dyDescent="0.6">
      <c r="A1008" s="40"/>
      <c r="B1008" s="41"/>
      <c r="C1008" s="31"/>
      <c r="D1008" s="32"/>
    </row>
    <row r="1009" spans="1:4" ht="42.75" customHeight="1" thickBot="1" x14ac:dyDescent="0.6">
      <c r="A1009" s="42"/>
      <c r="B1009" s="43"/>
      <c r="C1009" s="31"/>
      <c r="D1009" s="32"/>
    </row>
    <row r="1010" spans="1:4" ht="42.75" customHeight="1" thickBot="1" x14ac:dyDescent="0.6">
      <c r="A1010" s="44"/>
      <c r="B1010" s="45"/>
      <c r="C1010" s="45"/>
      <c r="D1010" s="46"/>
    </row>
    <row r="1011" spans="1:4" ht="42.75" customHeight="1" thickBot="1" x14ac:dyDescent="0.6">
      <c r="A1011" s="47"/>
      <c r="B1011" s="48"/>
      <c r="C1011" s="48"/>
      <c r="D1011" s="49"/>
    </row>
    <row r="1012" spans="1:4" ht="42.75" customHeight="1" thickBot="1" x14ac:dyDescent="0.6">
      <c r="A1012" s="50"/>
      <c r="B1012" s="51"/>
      <c r="C1012" s="51"/>
      <c r="D1012" s="52"/>
    </row>
    <row r="1013" spans="1:4" ht="42.75" customHeight="1" thickBot="1" x14ac:dyDescent="0.6">
      <c r="A1013" s="53"/>
      <c r="B1013" s="53"/>
      <c r="C1013" s="53"/>
      <c r="D1013" s="53"/>
    </row>
    <row r="1014" spans="1:4" ht="42.75" customHeight="1" thickBot="1" x14ac:dyDescent="0.6">
      <c r="A1014" s="1"/>
      <c r="B1014" s="2"/>
      <c r="C1014" s="2"/>
      <c r="D1014" s="3"/>
    </row>
    <row r="1015" spans="1:4" ht="42.75" customHeight="1" thickBot="1" x14ac:dyDescent="0.6">
      <c r="A1015" s="10"/>
      <c r="B1015" s="11"/>
      <c r="C1015" s="12"/>
      <c r="D1015" s="11"/>
    </row>
    <row r="1016" spans="1:4" ht="42.75" customHeight="1" thickBot="1" x14ac:dyDescent="0.6">
      <c r="A1016" s="14"/>
      <c r="B1016" s="15"/>
      <c r="C1016" s="16"/>
      <c r="D1016" s="17"/>
    </row>
    <row r="1017" spans="1:4" ht="42.75" customHeight="1" thickBot="1" x14ac:dyDescent="0.6">
      <c r="A1017" s="15"/>
      <c r="B1017" s="15"/>
      <c r="C1017" s="20"/>
      <c r="D1017" s="21"/>
    </row>
    <row r="1018" spans="1:4" ht="42.75" customHeight="1" thickBot="1" x14ac:dyDescent="0.6">
      <c r="A1018" s="23"/>
      <c r="B1018" s="24"/>
      <c r="C1018" s="25"/>
      <c r="D1018" s="26"/>
    </row>
    <row r="1019" spans="1:4" ht="42.75" customHeight="1" thickBot="1" x14ac:dyDescent="0.6">
      <c r="A1019" s="23"/>
      <c r="B1019" s="24"/>
      <c r="C1019" s="31"/>
      <c r="D1019" s="32"/>
    </row>
    <row r="1020" spans="1:4" ht="42.75" customHeight="1" thickBot="1" x14ac:dyDescent="0.7">
      <c r="A1020" s="34"/>
      <c r="B1020" s="35"/>
      <c r="C1020" s="36"/>
      <c r="D1020" s="32"/>
    </row>
    <row r="1021" spans="1:4" ht="42.75" customHeight="1" thickBot="1" x14ac:dyDescent="0.6">
      <c r="A1021" s="38"/>
      <c r="B1021" s="39"/>
      <c r="C1021" s="31"/>
      <c r="D1021" s="32"/>
    </row>
    <row r="1022" spans="1:4" ht="42.75" customHeight="1" thickBot="1" x14ac:dyDescent="0.6">
      <c r="A1022" s="40"/>
      <c r="B1022" s="41"/>
      <c r="C1022" s="31"/>
      <c r="D1022" s="32"/>
    </row>
    <row r="1023" spans="1:4" ht="42.75" customHeight="1" thickBot="1" x14ac:dyDescent="0.6">
      <c r="A1023" s="42"/>
      <c r="B1023" s="43"/>
      <c r="C1023" s="31"/>
      <c r="D1023" s="32"/>
    </row>
    <row r="1024" spans="1:4" ht="42.75" customHeight="1" thickBot="1" x14ac:dyDescent="0.6">
      <c r="A1024" s="44"/>
      <c r="B1024" s="45"/>
      <c r="C1024" s="45"/>
      <c r="D1024" s="46"/>
    </row>
    <row r="1025" spans="1:4" ht="42.75" customHeight="1" thickBot="1" x14ac:dyDescent="0.6">
      <c r="A1025" s="56"/>
      <c r="B1025" s="57"/>
      <c r="C1025" s="57"/>
      <c r="D1025" s="58"/>
    </row>
    <row r="1026" spans="1:4" ht="42.75" customHeight="1" thickBot="1" x14ac:dyDescent="0.6">
      <c r="A1026" s="50"/>
      <c r="B1026" s="51"/>
      <c r="C1026" s="51"/>
      <c r="D1026" s="52"/>
    </row>
    <row r="1027" spans="1:4" ht="42.75" customHeight="1" thickBot="1" x14ac:dyDescent="0.6">
      <c r="A1027" s="1"/>
      <c r="B1027" s="2"/>
      <c r="C1027" s="2"/>
      <c r="D1027" s="3"/>
    </row>
    <row r="1028" spans="1:4" ht="42.75" customHeight="1" thickBot="1" x14ac:dyDescent="0.6">
      <c r="A1028" s="10"/>
      <c r="B1028" s="11"/>
      <c r="C1028" s="12"/>
      <c r="D1028" s="11"/>
    </row>
    <row r="1029" spans="1:4" ht="42.75" customHeight="1" thickBot="1" x14ac:dyDescent="0.6">
      <c r="A1029" s="14"/>
      <c r="B1029" s="15"/>
      <c r="C1029" s="16"/>
      <c r="D1029" s="17"/>
    </row>
    <row r="1030" spans="1:4" ht="42.75" customHeight="1" thickBot="1" x14ac:dyDescent="0.6">
      <c r="A1030" s="15"/>
      <c r="B1030" s="15"/>
      <c r="C1030" s="20"/>
      <c r="D1030" s="21"/>
    </row>
    <row r="1031" spans="1:4" ht="42.75" customHeight="1" thickBot="1" x14ac:dyDescent="0.6">
      <c r="A1031" s="23"/>
      <c r="B1031" s="24"/>
      <c r="C1031" s="25"/>
      <c r="D1031" s="26"/>
    </row>
    <row r="1032" spans="1:4" ht="42.75" customHeight="1" thickBot="1" x14ac:dyDescent="0.6">
      <c r="A1032" s="23"/>
      <c r="B1032" s="24"/>
      <c r="C1032" s="31"/>
      <c r="D1032" s="32"/>
    </row>
    <row r="1033" spans="1:4" ht="42.75" customHeight="1" thickBot="1" x14ac:dyDescent="0.7">
      <c r="A1033" s="34"/>
      <c r="B1033" s="35"/>
      <c r="C1033" s="36"/>
      <c r="D1033" s="32"/>
    </row>
    <row r="1034" spans="1:4" ht="42.75" customHeight="1" thickBot="1" x14ac:dyDescent="0.6">
      <c r="A1034" s="38"/>
      <c r="B1034" s="39"/>
      <c r="C1034" s="31"/>
      <c r="D1034" s="32"/>
    </row>
    <row r="1035" spans="1:4" ht="42.75" customHeight="1" thickBot="1" x14ac:dyDescent="0.6">
      <c r="A1035" s="40"/>
      <c r="B1035" s="41"/>
      <c r="C1035" s="31"/>
      <c r="D1035" s="32"/>
    </row>
    <row r="1036" spans="1:4" ht="42.75" customHeight="1" thickBot="1" x14ac:dyDescent="0.6">
      <c r="A1036" s="42"/>
      <c r="B1036" s="43"/>
      <c r="C1036" s="31"/>
      <c r="D1036" s="32"/>
    </row>
    <row r="1037" spans="1:4" ht="42.75" customHeight="1" thickBot="1" x14ac:dyDescent="0.6">
      <c r="A1037" s="44"/>
      <c r="B1037" s="45"/>
      <c r="C1037" s="45"/>
      <c r="D1037" s="46"/>
    </row>
    <row r="1038" spans="1:4" ht="42.75" customHeight="1" thickBot="1" x14ac:dyDescent="0.6">
      <c r="A1038" s="47"/>
      <c r="B1038" s="48"/>
      <c r="C1038" s="48"/>
      <c r="D1038" s="49"/>
    </row>
    <row r="1039" spans="1:4" ht="42.75" customHeight="1" thickBot="1" x14ac:dyDescent="0.6">
      <c r="A1039" s="50"/>
      <c r="B1039" s="51"/>
      <c r="C1039" s="51"/>
      <c r="D1039" s="52"/>
    </row>
    <row r="1040" spans="1:4" ht="42.75" customHeight="1" thickBot="1" x14ac:dyDescent="0.6">
      <c r="A1040" s="53"/>
      <c r="B1040" s="53"/>
      <c r="C1040" s="53"/>
      <c r="D1040" s="53"/>
    </row>
    <row r="1041" spans="1:4" ht="42.75" customHeight="1" thickBot="1" x14ac:dyDescent="0.6">
      <c r="A1041" s="1"/>
      <c r="B1041" s="2"/>
      <c r="C1041" s="2"/>
      <c r="D1041" s="3"/>
    </row>
    <row r="1042" spans="1:4" ht="42.75" customHeight="1" thickBot="1" x14ac:dyDescent="0.6">
      <c r="A1042" s="10"/>
      <c r="B1042" s="11"/>
      <c r="C1042" s="12"/>
      <c r="D1042" s="11"/>
    </row>
    <row r="1043" spans="1:4" ht="42.75" customHeight="1" thickBot="1" x14ac:dyDescent="0.6">
      <c r="A1043" s="14"/>
      <c r="B1043" s="15"/>
      <c r="C1043" s="16"/>
      <c r="D1043" s="17"/>
    </row>
    <row r="1044" spans="1:4" ht="42.75" customHeight="1" thickBot="1" x14ac:dyDescent="0.6">
      <c r="A1044" s="15"/>
      <c r="B1044" s="15"/>
      <c r="C1044" s="20"/>
      <c r="D1044" s="21"/>
    </row>
    <row r="1045" spans="1:4" ht="42.75" customHeight="1" thickBot="1" x14ac:dyDescent="0.6">
      <c r="A1045" s="23"/>
      <c r="B1045" s="24"/>
      <c r="C1045" s="25"/>
      <c r="D1045" s="26"/>
    </row>
    <row r="1046" spans="1:4" ht="42.75" customHeight="1" thickBot="1" x14ac:dyDescent="0.6">
      <c r="A1046" s="23"/>
      <c r="B1046" s="24"/>
      <c r="C1046" s="31"/>
      <c r="D1046" s="32"/>
    </row>
    <row r="1047" spans="1:4" ht="42.75" customHeight="1" thickBot="1" x14ac:dyDescent="0.7">
      <c r="A1047" s="34"/>
      <c r="B1047" s="35"/>
      <c r="C1047" s="36"/>
      <c r="D1047" s="32"/>
    </row>
    <row r="1048" spans="1:4" ht="42.75" customHeight="1" thickBot="1" x14ac:dyDescent="0.6">
      <c r="A1048" s="38"/>
      <c r="B1048" s="39"/>
      <c r="C1048" s="31"/>
      <c r="D1048" s="32"/>
    </row>
    <row r="1049" spans="1:4" ht="42.75" customHeight="1" thickBot="1" x14ac:dyDescent="0.6">
      <c r="A1049" s="40"/>
      <c r="B1049" s="41"/>
      <c r="C1049" s="31"/>
      <c r="D1049" s="32"/>
    </row>
    <row r="1050" spans="1:4" ht="42.75" customHeight="1" thickBot="1" x14ac:dyDescent="0.6">
      <c r="A1050" s="42"/>
      <c r="B1050" s="43"/>
      <c r="C1050" s="31"/>
      <c r="D1050" s="32"/>
    </row>
    <row r="1051" spans="1:4" ht="42.75" customHeight="1" thickBot="1" x14ac:dyDescent="0.6">
      <c r="A1051" s="44"/>
      <c r="B1051" s="45"/>
      <c r="C1051" s="45"/>
      <c r="D1051" s="46"/>
    </row>
    <row r="1052" spans="1:4" ht="42.75" customHeight="1" thickBot="1" x14ac:dyDescent="0.6">
      <c r="A1052" s="56"/>
      <c r="B1052" s="57"/>
      <c r="C1052" s="57"/>
      <c r="D1052" s="58"/>
    </row>
    <row r="1053" spans="1:4" ht="42.75" customHeight="1" thickBot="1" x14ac:dyDescent="0.6">
      <c r="A1053" s="50"/>
      <c r="B1053" s="51"/>
      <c r="C1053" s="51"/>
      <c r="D1053" s="52"/>
    </row>
    <row r="1054" spans="1:4" ht="42.75" customHeight="1" thickBot="1" x14ac:dyDescent="0.6">
      <c r="A1054" s="1"/>
      <c r="B1054" s="2"/>
      <c r="C1054" s="2"/>
      <c r="D1054" s="3"/>
    </row>
    <row r="1055" spans="1:4" ht="42.75" customHeight="1" thickBot="1" x14ac:dyDescent="0.6">
      <c r="A1055" s="10"/>
      <c r="B1055" s="11"/>
      <c r="C1055" s="12"/>
      <c r="D1055" s="11"/>
    </row>
    <row r="1056" spans="1:4" ht="42.75" customHeight="1" thickBot="1" x14ac:dyDescent="0.6">
      <c r="A1056" s="14"/>
      <c r="B1056" s="15"/>
      <c r="C1056" s="16"/>
      <c r="D1056" s="17"/>
    </row>
    <row r="1057" spans="1:4" ht="42.75" customHeight="1" thickBot="1" x14ac:dyDescent="0.6">
      <c r="A1057" s="15"/>
      <c r="B1057" s="15"/>
      <c r="C1057" s="20"/>
      <c r="D1057" s="21"/>
    </row>
    <row r="1058" spans="1:4" ht="42.75" customHeight="1" thickBot="1" x14ac:dyDescent="0.6">
      <c r="A1058" s="23"/>
      <c r="B1058" s="24"/>
      <c r="C1058" s="25"/>
      <c r="D1058" s="26"/>
    </row>
    <row r="1059" spans="1:4" ht="42.75" customHeight="1" thickBot="1" x14ac:dyDescent="0.6">
      <c r="A1059" s="23"/>
      <c r="B1059" s="24"/>
      <c r="C1059" s="31"/>
      <c r="D1059" s="32"/>
    </row>
    <row r="1060" spans="1:4" ht="42.75" customHeight="1" thickBot="1" x14ac:dyDescent="0.7">
      <c r="A1060" s="34"/>
      <c r="B1060" s="35"/>
      <c r="C1060" s="36"/>
      <c r="D1060" s="32"/>
    </row>
    <row r="1061" spans="1:4" ht="42.75" customHeight="1" thickBot="1" x14ac:dyDescent="0.6">
      <c r="A1061" s="38"/>
      <c r="B1061" s="39"/>
      <c r="C1061" s="31"/>
      <c r="D1061" s="32"/>
    </row>
    <row r="1062" spans="1:4" ht="42.75" customHeight="1" thickBot="1" x14ac:dyDescent="0.6">
      <c r="A1062" s="40"/>
      <c r="B1062" s="41"/>
      <c r="C1062" s="31"/>
      <c r="D1062" s="32"/>
    </row>
    <row r="1063" spans="1:4" ht="42.75" customHeight="1" thickBot="1" x14ac:dyDescent="0.6">
      <c r="A1063" s="42"/>
      <c r="B1063" s="43"/>
      <c r="C1063" s="31"/>
      <c r="D1063" s="32"/>
    </row>
    <row r="1064" spans="1:4" ht="42.75" customHeight="1" thickBot="1" x14ac:dyDescent="0.6">
      <c r="A1064" s="44"/>
      <c r="B1064" s="45"/>
      <c r="C1064" s="45"/>
      <c r="D1064" s="46"/>
    </row>
    <row r="1065" spans="1:4" ht="42.75" customHeight="1" thickBot="1" x14ac:dyDescent="0.6">
      <c r="A1065" s="47"/>
      <c r="B1065" s="48"/>
      <c r="C1065" s="48"/>
      <c r="D1065" s="49"/>
    </row>
    <row r="1066" spans="1:4" ht="42.75" customHeight="1" thickBot="1" x14ac:dyDescent="0.6">
      <c r="A1066" s="50"/>
      <c r="B1066" s="51"/>
      <c r="C1066" s="51"/>
      <c r="D1066" s="52"/>
    </row>
    <row r="1067" spans="1:4" ht="42.75" customHeight="1" thickBot="1" x14ac:dyDescent="0.6">
      <c r="A1067" s="53"/>
      <c r="B1067" s="53"/>
      <c r="C1067" s="53"/>
      <c r="D1067" s="53"/>
    </row>
    <row r="1068" spans="1:4" ht="42.75" customHeight="1" thickBot="1" x14ac:dyDescent="0.6">
      <c r="A1068" s="1"/>
      <c r="B1068" s="2"/>
      <c r="C1068" s="2"/>
      <c r="D1068" s="3"/>
    </row>
    <row r="1069" spans="1:4" ht="42.75" customHeight="1" thickBot="1" x14ac:dyDescent="0.6">
      <c r="A1069" s="10"/>
      <c r="B1069" s="11"/>
      <c r="C1069" s="12"/>
      <c r="D1069" s="11"/>
    </row>
    <row r="1070" spans="1:4" ht="42.75" customHeight="1" thickBot="1" x14ac:dyDescent="0.6">
      <c r="A1070" s="14"/>
      <c r="B1070" s="15"/>
      <c r="C1070" s="16"/>
      <c r="D1070" s="17"/>
    </row>
    <row r="1071" spans="1:4" ht="42.75" customHeight="1" thickBot="1" x14ac:dyDescent="0.6">
      <c r="A1071" s="15"/>
      <c r="B1071" s="15"/>
      <c r="C1071" s="20"/>
      <c r="D1071" s="21"/>
    </row>
    <row r="1072" spans="1:4" ht="42.75" customHeight="1" thickBot="1" x14ac:dyDescent="0.6">
      <c r="A1072" s="23"/>
      <c r="B1072" s="24"/>
      <c r="C1072" s="25"/>
      <c r="D1072" s="26"/>
    </row>
    <row r="1073" spans="1:4" ht="42.75" customHeight="1" thickBot="1" x14ac:dyDescent="0.6">
      <c r="A1073" s="23"/>
      <c r="B1073" s="24"/>
      <c r="C1073" s="31"/>
      <c r="D1073" s="32"/>
    </row>
    <row r="1074" spans="1:4" ht="42.75" customHeight="1" thickBot="1" x14ac:dyDescent="0.7">
      <c r="A1074" s="34"/>
      <c r="B1074" s="35"/>
      <c r="C1074" s="36"/>
      <c r="D1074" s="32"/>
    </row>
    <row r="1075" spans="1:4" ht="42.75" customHeight="1" thickBot="1" x14ac:dyDescent="0.6">
      <c r="A1075" s="38"/>
      <c r="B1075" s="39"/>
      <c r="C1075" s="31"/>
      <c r="D1075" s="32"/>
    </row>
    <row r="1076" spans="1:4" ht="42.75" customHeight="1" thickBot="1" x14ac:dyDescent="0.6">
      <c r="A1076" s="40"/>
      <c r="B1076" s="41"/>
      <c r="C1076" s="31"/>
      <c r="D1076" s="32"/>
    </row>
    <row r="1077" spans="1:4" ht="42.75" customHeight="1" thickBot="1" x14ac:dyDescent="0.6">
      <c r="A1077" s="42"/>
      <c r="B1077" s="43"/>
      <c r="C1077" s="31"/>
      <c r="D1077" s="32"/>
    </row>
    <row r="1078" spans="1:4" ht="42.75" customHeight="1" thickBot="1" x14ac:dyDescent="0.6">
      <c r="A1078" s="44"/>
      <c r="B1078" s="45"/>
      <c r="C1078" s="45"/>
      <c r="D1078" s="46"/>
    </row>
    <row r="1079" spans="1:4" ht="42.75" customHeight="1" thickBot="1" x14ac:dyDescent="0.6">
      <c r="A1079" s="56"/>
      <c r="B1079" s="57"/>
      <c r="C1079" s="57"/>
      <c r="D1079" s="58"/>
    </row>
    <row r="1080" spans="1:4" ht="42.75" customHeight="1" thickBot="1" x14ac:dyDescent="0.6">
      <c r="A1080" s="50"/>
      <c r="B1080" s="51"/>
      <c r="C1080" s="51"/>
      <c r="D1080" s="52"/>
    </row>
    <row r="1081" spans="1:4" ht="42.75" customHeight="1" thickBot="1" x14ac:dyDescent="0.6">
      <c r="A1081" s="1"/>
      <c r="B1081" s="2"/>
      <c r="C1081" s="2"/>
      <c r="D1081" s="3"/>
    </row>
    <row r="1082" spans="1:4" ht="42.75" customHeight="1" thickBot="1" x14ac:dyDescent="0.6">
      <c r="A1082" s="10"/>
      <c r="B1082" s="11"/>
      <c r="C1082" s="12"/>
      <c r="D1082" s="11"/>
    </row>
    <row r="1083" spans="1:4" ht="42.75" customHeight="1" thickBot="1" x14ac:dyDescent="0.6">
      <c r="A1083" s="14"/>
      <c r="B1083" s="15"/>
      <c r="C1083" s="16"/>
      <c r="D1083" s="17"/>
    </row>
    <row r="1084" spans="1:4" ht="42.75" customHeight="1" thickBot="1" x14ac:dyDescent="0.6">
      <c r="A1084" s="15"/>
      <c r="B1084" s="15"/>
      <c r="C1084" s="20"/>
      <c r="D1084" s="21"/>
    </row>
    <row r="1085" spans="1:4" ht="42.75" customHeight="1" thickBot="1" x14ac:dyDescent="0.6">
      <c r="A1085" s="23"/>
      <c r="B1085" s="24"/>
      <c r="C1085" s="25"/>
      <c r="D1085" s="26"/>
    </row>
    <row r="1086" spans="1:4" ht="42.75" customHeight="1" thickBot="1" x14ac:dyDescent="0.6">
      <c r="A1086" s="23"/>
      <c r="B1086" s="24"/>
      <c r="C1086" s="31"/>
      <c r="D1086" s="32"/>
    </row>
    <row r="1087" spans="1:4" ht="42.75" customHeight="1" thickBot="1" x14ac:dyDescent="0.7">
      <c r="A1087" s="34"/>
      <c r="B1087" s="35"/>
      <c r="C1087" s="36"/>
      <c r="D1087" s="32"/>
    </row>
    <row r="1088" spans="1:4" ht="42.75" customHeight="1" thickBot="1" x14ac:dyDescent="0.6">
      <c r="A1088" s="38"/>
      <c r="B1088" s="39"/>
      <c r="C1088" s="31"/>
      <c r="D1088" s="32"/>
    </row>
    <row r="1089" spans="1:4" ht="42.75" customHeight="1" thickBot="1" x14ac:dyDescent="0.6">
      <c r="A1089" s="40"/>
      <c r="B1089" s="41"/>
      <c r="C1089" s="31"/>
      <c r="D1089" s="32"/>
    </row>
    <row r="1090" spans="1:4" ht="42.75" customHeight="1" thickBot="1" x14ac:dyDescent="0.6">
      <c r="A1090" s="42"/>
      <c r="B1090" s="43"/>
      <c r="C1090" s="31"/>
      <c r="D1090" s="32"/>
    </row>
    <row r="1091" spans="1:4" ht="42.75" customHeight="1" thickBot="1" x14ac:dyDescent="0.6">
      <c r="A1091" s="44"/>
      <c r="B1091" s="45"/>
      <c r="C1091" s="45"/>
      <c r="D1091" s="46"/>
    </row>
    <row r="1092" spans="1:4" ht="42.75" customHeight="1" thickBot="1" x14ac:dyDescent="0.6">
      <c r="A1092" s="47"/>
      <c r="B1092" s="48"/>
      <c r="C1092" s="48"/>
      <c r="D1092" s="49"/>
    </row>
    <row r="1093" spans="1:4" ht="42.75" customHeight="1" thickBot="1" x14ac:dyDescent="0.6">
      <c r="A1093" s="50"/>
      <c r="B1093" s="51"/>
      <c r="C1093" s="51"/>
      <c r="D1093" s="52"/>
    </row>
    <row r="1094" spans="1:4" ht="42.75" customHeight="1" thickBot="1" x14ac:dyDescent="0.6">
      <c r="A1094" s="53"/>
      <c r="B1094" s="53"/>
      <c r="C1094" s="53"/>
      <c r="D1094" s="53"/>
    </row>
    <row r="1095" spans="1:4" ht="42.75" customHeight="1" thickBot="1" x14ac:dyDescent="0.6">
      <c r="A1095" s="1"/>
      <c r="B1095" s="2"/>
      <c r="C1095" s="2"/>
      <c r="D1095" s="3"/>
    </row>
    <row r="1096" spans="1:4" ht="42.75" customHeight="1" thickBot="1" x14ac:dyDescent="0.6">
      <c r="A1096" s="10"/>
      <c r="B1096" s="11"/>
      <c r="C1096" s="12"/>
      <c r="D1096" s="11"/>
    </row>
    <row r="1097" spans="1:4" ht="42.75" customHeight="1" thickBot="1" x14ac:dyDescent="0.6">
      <c r="A1097" s="14"/>
      <c r="B1097" s="15"/>
      <c r="C1097" s="16"/>
      <c r="D1097" s="17"/>
    </row>
    <row r="1098" spans="1:4" ht="42.75" customHeight="1" thickBot="1" x14ac:dyDescent="0.6">
      <c r="A1098" s="15"/>
      <c r="B1098" s="15"/>
      <c r="C1098" s="20"/>
      <c r="D1098" s="21"/>
    </row>
    <row r="1099" spans="1:4" ht="42.75" customHeight="1" thickBot="1" x14ac:dyDescent="0.6">
      <c r="A1099" s="23"/>
      <c r="B1099" s="24"/>
      <c r="C1099" s="25"/>
      <c r="D1099" s="26"/>
    </row>
    <row r="1100" spans="1:4" ht="42.75" customHeight="1" thickBot="1" x14ac:dyDescent="0.6">
      <c r="A1100" s="23"/>
      <c r="B1100" s="24"/>
      <c r="C1100" s="31"/>
      <c r="D1100" s="32"/>
    </row>
    <row r="1101" spans="1:4" ht="42.75" customHeight="1" thickBot="1" x14ac:dyDescent="0.7">
      <c r="A1101" s="34"/>
      <c r="B1101" s="35"/>
      <c r="C1101" s="36"/>
      <c r="D1101" s="32"/>
    </row>
    <row r="1102" spans="1:4" ht="42.75" customHeight="1" thickBot="1" x14ac:dyDescent="0.6">
      <c r="A1102" s="38"/>
      <c r="B1102" s="39"/>
      <c r="C1102" s="31"/>
      <c r="D1102" s="32"/>
    </row>
    <row r="1103" spans="1:4" ht="42.75" customHeight="1" thickBot="1" x14ac:dyDescent="0.6">
      <c r="A1103" s="40"/>
      <c r="B1103" s="41"/>
      <c r="C1103" s="31"/>
      <c r="D1103" s="32"/>
    </row>
    <row r="1104" spans="1:4" ht="42.75" customHeight="1" thickBot="1" x14ac:dyDescent="0.6">
      <c r="A1104" s="42"/>
      <c r="B1104" s="43"/>
      <c r="C1104" s="31"/>
      <c r="D1104" s="32"/>
    </row>
    <row r="1105" spans="1:4" ht="42.75" customHeight="1" thickBot="1" x14ac:dyDescent="0.6">
      <c r="A1105" s="44"/>
      <c r="B1105" s="45"/>
      <c r="C1105" s="45"/>
      <c r="D1105" s="46"/>
    </row>
    <row r="1106" spans="1:4" ht="42.75" customHeight="1" thickBot="1" x14ac:dyDescent="0.6">
      <c r="A1106" s="56"/>
      <c r="B1106" s="57"/>
      <c r="C1106" s="57"/>
      <c r="D1106" s="58"/>
    </row>
    <row r="1107" spans="1:4" ht="42.75" customHeight="1" thickBot="1" x14ac:dyDescent="0.6">
      <c r="A1107" s="50"/>
      <c r="B1107" s="51"/>
      <c r="C1107" s="51"/>
      <c r="D1107" s="52"/>
    </row>
    <row r="1108" spans="1:4" ht="42.75" customHeight="1" thickBot="1" x14ac:dyDescent="0.6">
      <c r="A1108" s="1"/>
      <c r="B1108" s="2"/>
      <c r="C1108" s="2"/>
      <c r="D1108" s="3"/>
    </row>
    <row r="1109" spans="1:4" ht="42.75" customHeight="1" thickBot="1" x14ac:dyDescent="0.6">
      <c r="A1109" s="10"/>
      <c r="B1109" s="11"/>
      <c r="C1109" s="12"/>
      <c r="D1109" s="11"/>
    </row>
    <row r="1110" spans="1:4" ht="42.75" customHeight="1" thickBot="1" x14ac:dyDescent="0.6">
      <c r="A1110" s="14"/>
      <c r="B1110" s="15"/>
      <c r="C1110" s="16"/>
      <c r="D1110" s="17"/>
    </row>
    <row r="1111" spans="1:4" ht="42.75" customHeight="1" thickBot="1" x14ac:dyDescent="0.6">
      <c r="A1111" s="15"/>
      <c r="B1111" s="15"/>
      <c r="C1111" s="20"/>
      <c r="D1111" s="21"/>
    </row>
    <row r="1112" spans="1:4" ht="42.75" customHeight="1" thickBot="1" x14ac:dyDescent="0.6">
      <c r="A1112" s="23"/>
      <c r="B1112" s="24"/>
      <c r="C1112" s="25"/>
      <c r="D1112" s="26"/>
    </row>
    <row r="1113" spans="1:4" ht="42.75" customHeight="1" thickBot="1" x14ac:dyDescent="0.6">
      <c r="A1113" s="23"/>
      <c r="B1113" s="24"/>
      <c r="C1113" s="31"/>
      <c r="D1113" s="32"/>
    </row>
    <row r="1114" spans="1:4" ht="42.75" customHeight="1" thickBot="1" x14ac:dyDescent="0.7">
      <c r="A1114" s="34"/>
      <c r="B1114" s="35"/>
      <c r="C1114" s="36"/>
      <c r="D1114" s="32"/>
    </row>
    <row r="1115" spans="1:4" ht="42.75" customHeight="1" thickBot="1" x14ac:dyDescent="0.6">
      <c r="A1115" s="38"/>
      <c r="B1115" s="39"/>
      <c r="C1115" s="31"/>
      <c r="D1115" s="32"/>
    </row>
    <row r="1116" spans="1:4" ht="42.75" customHeight="1" thickBot="1" x14ac:dyDescent="0.6">
      <c r="A1116" s="40"/>
      <c r="B1116" s="41"/>
      <c r="C1116" s="31"/>
      <c r="D1116" s="32"/>
    </row>
    <row r="1117" spans="1:4" ht="42.75" customHeight="1" thickBot="1" x14ac:dyDescent="0.6">
      <c r="A1117" s="42"/>
      <c r="B1117" s="43"/>
      <c r="C1117" s="31"/>
      <c r="D1117" s="32"/>
    </row>
    <row r="1118" spans="1:4" ht="42.75" customHeight="1" thickBot="1" x14ac:dyDescent="0.6">
      <c r="A1118" s="44"/>
      <c r="B1118" s="45"/>
      <c r="C1118" s="45"/>
      <c r="D1118" s="46"/>
    </row>
    <row r="1119" spans="1:4" ht="42.75" customHeight="1" thickBot="1" x14ac:dyDescent="0.6">
      <c r="A1119" s="47"/>
      <c r="B1119" s="48"/>
      <c r="C1119" s="48"/>
      <c r="D1119" s="49"/>
    </row>
    <row r="1120" spans="1:4" ht="42.75" customHeight="1" thickBot="1" x14ac:dyDescent="0.6">
      <c r="A1120" s="50"/>
      <c r="B1120" s="51"/>
      <c r="C1120" s="51"/>
      <c r="D1120" s="52"/>
    </row>
    <row r="1121" spans="1:4" ht="42.75" customHeight="1" thickBot="1" x14ac:dyDescent="0.6">
      <c r="A1121" s="53"/>
      <c r="B1121" s="53"/>
      <c r="C1121" s="53"/>
      <c r="D1121" s="53"/>
    </row>
    <row r="1122" spans="1:4" ht="42.75" customHeight="1" thickBot="1" x14ac:dyDescent="0.6">
      <c r="A1122" s="1"/>
      <c r="B1122" s="2"/>
      <c r="C1122" s="2"/>
      <c r="D1122" s="3"/>
    </row>
    <row r="1123" spans="1:4" ht="42.75" customHeight="1" thickBot="1" x14ac:dyDescent="0.6">
      <c r="A1123" s="10"/>
      <c r="B1123" s="11"/>
      <c r="C1123" s="12"/>
      <c r="D1123" s="11"/>
    </row>
    <row r="1124" spans="1:4" ht="42.75" customHeight="1" thickBot="1" x14ac:dyDescent="0.6">
      <c r="A1124" s="14"/>
      <c r="B1124" s="15"/>
      <c r="C1124" s="16"/>
      <c r="D1124" s="17"/>
    </row>
    <row r="1125" spans="1:4" ht="42.75" customHeight="1" thickBot="1" x14ac:dyDescent="0.6">
      <c r="A1125" s="15"/>
      <c r="B1125" s="15"/>
      <c r="C1125" s="20"/>
      <c r="D1125" s="21"/>
    </row>
    <row r="1126" spans="1:4" ht="42.75" customHeight="1" thickBot="1" x14ac:dyDescent="0.6">
      <c r="A1126" s="23"/>
      <c r="B1126" s="24"/>
      <c r="C1126" s="25"/>
      <c r="D1126" s="26"/>
    </row>
    <row r="1127" spans="1:4" ht="42.75" customHeight="1" thickBot="1" x14ac:dyDescent="0.6">
      <c r="A1127" s="23"/>
      <c r="B1127" s="24"/>
      <c r="C1127" s="31"/>
      <c r="D1127" s="32"/>
    </row>
    <row r="1128" spans="1:4" ht="42.75" customHeight="1" thickBot="1" x14ac:dyDescent="0.7">
      <c r="A1128" s="34"/>
      <c r="B1128" s="35"/>
      <c r="C1128" s="36"/>
      <c r="D1128" s="32"/>
    </row>
    <row r="1129" spans="1:4" ht="42.75" customHeight="1" thickBot="1" x14ac:dyDescent="0.6">
      <c r="A1129" s="38"/>
      <c r="B1129" s="39"/>
      <c r="C1129" s="31"/>
      <c r="D1129" s="32"/>
    </row>
    <row r="1130" spans="1:4" ht="42.75" customHeight="1" thickBot="1" x14ac:dyDescent="0.6">
      <c r="A1130" s="40"/>
      <c r="B1130" s="41"/>
      <c r="C1130" s="31"/>
      <c r="D1130" s="32"/>
    </row>
    <row r="1131" spans="1:4" ht="42.75" customHeight="1" thickBot="1" x14ac:dyDescent="0.6">
      <c r="A1131" s="42"/>
      <c r="B1131" s="43"/>
      <c r="C1131" s="31"/>
      <c r="D1131" s="32"/>
    </row>
    <row r="1132" spans="1:4" ht="42.75" customHeight="1" thickBot="1" x14ac:dyDescent="0.6">
      <c r="A1132" s="44"/>
      <c r="B1132" s="45"/>
      <c r="C1132" s="45"/>
      <c r="D1132" s="46"/>
    </row>
    <row r="1133" spans="1:4" ht="42.75" customHeight="1" thickBot="1" x14ac:dyDescent="0.6">
      <c r="A1133" s="56"/>
      <c r="B1133" s="57"/>
      <c r="C1133" s="57"/>
      <c r="D1133" s="58"/>
    </row>
    <row r="1134" spans="1:4" ht="42.75" customHeight="1" thickBot="1" x14ac:dyDescent="0.6">
      <c r="A1134" s="50"/>
      <c r="B1134" s="51"/>
      <c r="C1134" s="51"/>
      <c r="D1134" s="52"/>
    </row>
    <row r="1135" spans="1:4" ht="42.75" customHeight="1" thickBot="1" x14ac:dyDescent="0.6">
      <c r="A1135" s="1"/>
      <c r="B1135" s="2"/>
      <c r="C1135" s="2"/>
      <c r="D1135" s="3"/>
    </row>
    <row r="1136" spans="1:4" ht="42.75" customHeight="1" thickBot="1" x14ac:dyDescent="0.6">
      <c r="A1136" s="10"/>
      <c r="B1136" s="11"/>
      <c r="C1136" s="12"/>
      <c r="D1136" s="11"/>
    </row>
    <row r="1137" spans="1:4" ht="42.75" customHeight="1" thickBot="1" x14ac:dyDescent="0.6">
      <c r="A1137" s="14"/>
      <c r="B1137" s="15"/>
      <c r="C1137" s="16"/>
      <c r="D1137" s="17"/>
    </row>
    <row r="1138" spans="1:4" ht="42.75" customHeight="1" thickBot="1" x14ac:dyDescent="0.6">
      <c r="A1138" s="15"/>
      <c r="B1138" s="15"/>
      <c r="C1138" s="20"/>
      <c r="D1138" s="21"/>
    </row>
    <row r="1139" spans="1:4" ht="42.75" customHeight="1" thickBot="1" x14ac:dyDescent="0.6">
      <c r="A1139" s="23"/>
      <c r="B1139" s="24"/>
      <c r="C1139" s="25"/>
      <c r="D1139" s="26"/>
    </row>
    <row r="1140" spans="1:4" ht="42.75" customHeight="1" thickBot="1" x14ac:dyDescent="0.6">
      <c r="A1140" s="23"/>
      <c r="B1140" s="24"/>
      <c r="C1140" s="31"/>
      <c r="D1140" s="32"/>
    </row>
    <row r="1141" spans="1:4" ht="42.75" customHeight="1" thickBot="1" x14ac:dyDescent="0.7">
      <c r="A1141" s="34"/>
      <c r="B1141" s="35"/>
      <c r="C1141" s="36"/>
      <c r="D1141" s="32"/>
    </row>
    <row r="1142" spans="1:4" ht="42.75" customHeight="1" thickBot="1" x14ac:dyDescent="0.6">
      <c r="A1142" s="38"/>
      <c r="B1142" s="39"/>
      <c r="C1142" s="31"/>
      <c r="D1142" s="32"/>
    </row>
    <row r="1143" spans="1:4" ht="42.75" customHeight="1" thickBot="1" x14ac:dyDescent="0.6">
      <c r="A1143" s="40"/>
      <c r="B1143" s="41"/>
      <c r="C1143" s="31"/>
      <c r="D1143" s="32"/>
    </row>
    <row r="1144" spans="1:4" ht="42.75" customHeight="1" thickBot="1" x14ac:dyDescent="0.6">
      <c r="A1144" s="42"/>
      <c r="B1144" s="43"/>
      <c r="C1144" s="31"/>
      <c r="D1144" s="32"/>
    </row>
    <row r="1145" spans="1:4" ht="42.75" customHeight="1" thickBot="1" x14ac:dyDescent="0.6">
      <c r="A1145" s="44"/>
      <c r="B1145" s="45"/>
      <c r="C1145" s="45"/>
      <c r="D1145" s="46"/>
    </row>
    <row r="1146" spans="1:4" ht="42.75" customHeight="1" thickBot="1" x14ac:dyDescent="0.6">
      <c r="A1146" s="47"/>
      <c r="B1146" s="48"/>
      <c r="C1146" s="48"/>
      <c r="D1146" s="49"/>
    </row>
    <row r="1147" spans="1:4" ht="42.75" customHeight="1" thickBot="1" x14ac:dyDescent="0.6">
      <c r="A1147" s="50"/>
      <c r="B1147" s="51"/>
      <c r="C1147" s="51"/>
      <c r="D1147" s="52"/>
    </row>
    <row r="1148" spans="1:4" ht="42.75" customHeight="1" thickBot="1" x14ac:dyDescent="0.6">
      <c r="A1148" s="53"/>
      <c r="B1148" s="53"/>
      <c r="C1148" s="53"/>
      <c r="D1148" s="53"/>
    </row>
    <row r="1149" spans="1:4" ht="42.75" customHeight="1" thickBot="1" x14ac:dyDescent="0.6">
      <c r="A1149" s="1"/>
      <c r="B1149" s="2"/>
      <c r="C1149" s="2"/>
      <c r="D1149" s="3"/>
    </row>
    <row r="1150" spans="1:4" ht="42.75" customHeight="1" thickBot="1" x14ac:dyDescent="0.6">
      <c r="A1150" s="10"/>
      <c r="B1150" s="11"/>
      <c r="C1150" s="12"/>
      <c r="D1150" s="11"/>
    </row>
    <row r="1151" spans="1:4" ht="42.75" customHeight="1" thickBot="1" x14ac:dyDescent="0.6">
      <c r="A1151" s="14"/>
      <c r="B1151" s="15"/>
      <c r="C1151" s="16"/>
      <c r="D1151" s="17"/>
    </row>
    <row r="1152" spans="1:4" ht="42.75" customHeight="1" thickBot="1" x14ac:dyDescent="0.6">
      <c r="A1152" s="15"/>
      <c r="B1152" s="15"/>
      <c r="C1152" s="20"/>
      <c r="D1152" s="21"/>
    </row>
    <row r="1153" spans="1:4" ht="42.75" customHeight="1" thickBot="1" x14ac:dyDescent="0.6">
      <c r="A1153" s="23"/>
      <c r="B1153" s="24"/>
      <c r="C1153" s="25"/>
      <c r="D1153" s="26"/>
    </row>
    <row r="1154" spans="1:4" ht="42.75" customHeight="1" thickBot="1" x14ac:dyDescent="0.6">
      <c r="A1154" s="23"/>
      <c r="B1154" s="24"/>
      <c r="C1154" s="31"/>
      <c r="D1154" s="32"/>
    </row>
    <row r="1155" spans="1:4" ht="42.75" customHeight="1" thickBot="1" x14ac:dyDescent="0.7">
      <c r="A1155" s="34"/>
      <c r="B1155" s="35"/>
      <c r="C1155" s="36"/>
      <c r="D1155" s="32"/>
    </row>
    <row r="1156" spans="1:4" ht="42.75" customHeight="1" thickBot="1" x14ac:dyDescent="0.6">
      <c r="A1156" s="38"/>
      <c r="B1156" s="39"/>
      <c r="C1156" s="31"/>
      <c r="D1156" s="32"/>
    </row>
    <row r="1157" spans="1:4" ht="42.75" customHeight="1" thickBot="1" x14ac:dyDescent="0.6">
      <c r="A1157" s="40"/>
      <c r="B1157" s="41"/>
      <c r="C1157" s="31"/>
      <c r="D1157" s="32"/>
    </row>
    <row r="1158" spans="1:4" ht="42.75" customHeight="1" thickBot="1" x14ac:dyDescent="0.6">
      <c r="A1158" s="42"/>
      <c r="B1158" s="43"/>
      <c r="C1158" s="31"/>
      <c r="D1158" s="32"/>
    </row>
    <row r="1159" spans="1:4" ht="42.75" customHeight="1" thickBot="1" x14ac:dyDescent="0.6">
      <c r="A1159" s="44"/>
      <c r="B1159" s="45"/>
      <c r="C1159" s="45"/>
      <c r="D1159" s="46"/>
    </row>
    <row r="1160" spans="1:4" ht="42.75" customHeight="1" thickBot="1" x14ac:dyDescent="0.6">
      <c r="A1160" s="56"/>
      <c r="B1160" s="57"/>
      <c r="C1160" s="57"/>
      <c r="D1160" s="58"/>
    </row>
    <row r="1161" spans="1:4" ht="42.75" customHeight="1" thickBot="1" x14ac:dyDescent="0.6">
      <c r="A1161" s="50"/>
      <c r="B1161" s="51"/>
      <c r="C1161" s="51"/>
      <c r="D1161" s="52"/>
    </row>
    <row r="1162" spans="1:4" ht="42.75" customHeight="1" thickBot="1" x14ac:dyDescent="0.6">
      <c r="A1162" s="1"/>
      <c r="B1162" s="2"/>
      <c r="C1162" s="2"/>
      <c r="D1162" s="3"/>
    </row>
    <row r="1163" spans="1:4" ht="42.75" customHeight="1" thickBot="1" x14ac:dyDescent="0.6">
      <c r="A1163" s="10"/>
      <c r="B1163" s="11"/>
      <c r="C1163" s="12"/>
      <c r="D1163" s="11"/>
    </row>
    <row r="1164" spans="1:4" ht="42.75" customHeight="1" thickBot="1" x14ac:dyDescent="0.6">
      <c r="A1164" s="14"/>
      <c r="B1164" s="15"/>
      <c r="C1164" s="16"/>
      <c r="D1164" s="17"/>
    </row>
    <row r="1165" spans="1:4" ht="42.75" customHeight="1" thickBot="1" x14ac:dyDescent="0.6">
      <c r="A1165" s="15"/>
      <c r="B1165" s="15"/>
      <c r="C1165" s="20"/>
      <c r="D1165" s="21"/>
    </row>
    <row r="1166" spans="1:4" ht="42.75" customHeight="1" thickBot="1" x14ac:dyDescent="0.6">
      <c r="A1166" s="23"/>
      <c r="B1166" s="24"/>
      <c r="C1166" s="25"/>
      <c r="D1166" s="26"/>
    </row>
    <row r="1167" spans="1:4" ht="42.75" customHeight="1" thickBot="1" x14ac:dyDescent="0.6">
      <c r="A1167" s="23"/>
      <c r="B1167" s="24"/>
      <c r="C1167" s="31"/>
      <c r="D1167" s="32"/>
    </row>
    <row r="1168" spans="1:4" ht="42.75" customHeight="1" thickBot="1" x14ac:dyDescent="0.7">
      <c r="A1168" s="34"/>
      <c r="B1168" s="35"/>
      <c r="C1168" s="36"/>
      <c r="D1168" s="32"/>
    </row>
    <row r="1169" spans="1:4" ht="42.75" customHeight="1" thickBot="1" x14ac:dyDescent="0.6">
      <c r="A1169" s="38"/>
      <c r="B1169" s="39"/>
      <c r="C1169" s="31"/>
      <c r="D1169" s="32"/>
    </row>
    <row r="1170" spans="1:4" ht="42.75" customHeight="1" thickBot="1" x14ac:dyDescent="0.6">
      <c r="A1170" s="40"/>
      <c r="B1170" s="41"/>
      <c r="C1170" s="31"/>
      <c r="D1170" s="32"/>
    </row>
    <row r="1171" spans="1:4" ht="42.75" customHeight="1" thickBot="1" x14ac:dyDescent="0.6">
      <c r="A1171" s="42"/>
      <c r="B1171" s="43"/>
      <c r="C1171" s="31"/>
      <c r="D1171" s="32"/>
    </row>
    <row r="1172" spans="1:4" ht="42.75" customHeight="1" thickBot="1" x14ac:dyDescent="0.6">
      <c r="A1172" s="44"/>
      <c r="B1172" s="45"/>
      <c r="C1172" s="45"/>
      <c r="D1172" s="46"/>
    </row>
    <row r="1173" spans="1:4" ht="42.75" customHeight="1" thickBot="1" x14ac:dyDescent="0.6">
      <c r="A1173" s="47"/>
      <c r="B1173" s="48"/>
      <c r="C1173" s="48"/>
      <c r="D1173" s="49"/>
    </row>
    <row r="1174" spans="1:4" ht="42.75" customHeight="1" thickBot="1" x14ac:dyDescent="0.6">
      <c r="A1174" s="50"/>
      <c r="B1174" s="51"/>
      <c r="C1174" s="51"/>
      <c r="D1174" s="52"/>
    </row>
    <row r="1175" spans="1:4" ht="42.75" customHeight="1" thickBot="1" x14ac:dyDescent="0.6">
      <c r="A1175" s="53"/>
      <c r="B1175" s="53"/>
      <c r="C1175" s="53"/>
      <c r="D1175" s="53"/>
    </row>
    <row r="1176" spans="1:4" ht="42.75" customHeight="1" thickBot="1" x14ac:dyDescent="0.6">
      <c r="A1176" s="1"/>
      <c r="B1176" s="2"/>
      <c r="C1176" s="2"/>
      <c r="D1176" s="3"/>
    </row>
    <row r="1177" spans="1:4" ht="42.75" customHeight="1" thickBot="1" x14ac:dyDescent="0.6">
      <c r="A1177" s="10"/>
      <c r="B1177" s="11"/>
      <c r="C1177" s="12"/>
      <c r="D1177" s="11"/>
    </row>
    <row r="1178" spans="1:4" ht="42.75" customHeight="1" thickBot="1" x14ac:dyDescent="0.6">
      <c r="A1178" s="14"/>
      <c r="B1178" s="15"/>
      <c r="C1178" s="16"/>
      <c r="D1178" s="17"/>
    </row>
    <row r="1179" spans="1:4" ht="42.75" customHeight="1" thickBot="1" x14ac:dyDescent="0.6">
      <c r="A1179" s="15"/>
      <c r="B1179" s="15"/>
      <c r="C1179" s="20"/>
      <c r="D1179" s="21"/>
    </row>
    <row r="1180" spans="1:4" ht="42.75" customHeight="1" thickBot="1" x14ac:dyDescent="0.6">
      <c r="A1180" s="23"/>
      <c r="B1180" s="24"/>
      <c r="C1180" s="25"/>
      <c r="D1180" s="26"/>
    </row>
    <row r="1181" spans="1:4" ht="42.75" customHeight="1" thickBot="1" x14ac:dyDescent="0.6">
      <c r="A1181" s="23"/>
      <c r="B1181" s="24"/>
      <c r="C1181" s="31"/>
      <c r="D1181" s="32"/>
    </row>
    <row r="1182" spans="1:4" ht="42.75" customHeight="1" thickBot="1" x14ac:dyDescent="0.7">
      <c r="A1182" s="34"/>
      <c r="B1182" s="35"/>
      <c r="C1182" s="36"/>
      <c r="D1182" s="32"/>
    </row>
    <row r="1183" spans="1:4" ht="42.75" customHeight="1" thickBot="1" x14ac:dyDescent="0.6">
      <c r="A1183" s="38"/>
      <c r="B1183" s="39"/>
      <c r="C1183" s="31"/>
      <c r="D1183" s="32"/>
    </row>
    <row r="1184" spans="1:4" ht="42.75" customHeight="1" thickBot="1" x14ac:dyDescent="0.6">
      <c r="A1184" s="40"/>
      <c r="B1184" s="41"/>
      <c r="C1184" s="31"/>
      <c r="D1184" s="32"/>
    </row>
    <row r="1185" spans="1:4" ht="42.75" customHeight="1" thickBot="1" x14ac:dyDescent="0.6">
      <c r="A1185" s="42"/>
      <c r="B1185" s="43"/>
      <c r="C1185" s="31"/>
      <c r="D1185" s="32"/>
    </row>
    <row r="1186" spans="1:4" ht="42.75" customHeight="1" thickBot="1" x14ac:dyDescent="0.6">
      <c r="A1186" s="44"/>
      <c r="B1186" s="45"/>
      <c r="C1186" s="45"/>
      <c r="D1186" s="46"/>
    </row>
    <row r="1187" spans="1:4" ht="42.75" customHeight="1" thickBot="1" x14ac:dyDescent="0.6">
      <c r="A1187" s="56"/>
      <c r="B1187" s="57"/>
      <c r="C1187" s="57"/>
      <c r="D1187" s="58"/>
    </row>
    <row r="1188" spans="1:4" ht="42.75" customHeight="1" thickBot="1" x14ac:dyDescent="0.6">
      <c r="A1188" s="50"/>
      <c r="B1188" s="51"/>
      <c r="C1188" s="51"/>
      <c r="D1188" s="52"/>
    </row>
    <row r="1189" spans="1:4" ht="42.75" customHeight="1" thickBot="1" x14ac:dyDescent="0.6">
      <c r="A1189" s="1"/>
      <c r="B1189" s="2"/>
      <c r="C1189" s="2"/>
      <c r="D1189" s="3"/>
    </row>
    <row r="1190" spans="1:4" ht="42.75" customHeight="1" thickBot="1" x14ac:dyDescent="0.6">
      <c r="A1190" s="10"/>
      <c r="B1190" s="11"/>
      <c r="C1190" s="12"/>
      <c r="D1190" s="11"/>
    </row>
    <row r="1191" spans="1:4" ht="42.75" customHeight="1" thickBot="1" x14ac:dyDescent="0.6">
      <c r="A1191" s="14"/>
      <c r="B1191" s="15"/>
      <c r="C1191" s="16"/>
      <c r="D1191" s="17"/>
    </row>
    <row r="1192" spans="1:4" ht="42.75" customHeight="1" thickBot="1" x14ac:dyDescent="0.6">
      <c r="A1192" s="15"/>
      <c r="B1192" s="15"/>
      <c r="C1192" s="20"/>
      <c r="D1192" s="21"/>
    </row>
    <row r="1193" spans="1:4" ht="42.75" customHeight="1" thickBot="1" x14ac:dyDescent="0.6">
      <c r="A1193" s="23"/>
      <c r="B1193" s="24"/>
      <c r="C1193" s="25"/>
      <c r="D1193" s="26"/>
    </row>
    <row r="1194" spans="1:4" ht="42.75" customHeight="1" thickBot="1" x14ac:dyDescent="0.6">
      <c r="A1194" s="23"/>
      <c r="B1194" s="24"/>
      <c r="C1194" s="31"/>
      <c r="D1194" s="32"/>
    </row>
    <row r="1195" spans="1:4" ht="42.75" customHeight="1" thickBot="1" x14ac:dyDescent="0.7">
      <c r="A1195" s="34"/>
      <c r="B1195" s="35"/>
      <c r="C1195" s="36"/>
      <c r="D1195" s="32"/>
    </row>
    <row r="1196" spans="1:4" ht="42.75" customHeight="1" thickBot="1" x14ac:dyDescent="0.6">
      <c r="A1196" s="38"/>
      <c r="B1196" s="39"/>
      <c r="C1196" s="31"/>
      <c r="D1196" s="32"/>
    </row>
    <row r="1197" spans="1:4" ht="42.75" customHeight="1" thickBot="1" x14ac:dyDescent="0.6">
      <c r="A1197" s="40"/>
      <c r="B1197" s="41"/>
      <c r="C1197" s="31"/>
      <c r="D1197" s="32"/>
    </row>
    <row r="1198" spans="1:4" ht="42.75" customHeight="1" thickBot="1" x14ac:dyDescent="0.6">
      <c r="A1198" s="42"/>
      <c r="B1198" s="43"/>
      <c r="C1198" s="31"/>
      <c r="D1198" s="32"/>
    </row>
    <row r="1199" spans="1:4" ht="42.75" customHeight="1" thickBot="1" x14ac:dyDescent="0.6">
      <c r="A1199" s="44"/>
      <c r="B1199" s="45"/>
      <c r="C1199" s="45"/>
      <c r="D1199" s="46"/>
    </row>
    <row r="1200" spans="1:4" ht="42.75" customHeight="1" thickBot="1" x14ac:dyDescent="0.6">
      <c r="A1200" s="47"/>
      <c r="B1200" s="48"/>
      <c r="C1200" s="48"/>
      <c r="D1200" s="49"/>
    </row>
    <row r="1201" spans="1:4" ht="42.75" customHeight="1" thickBot="1" x14ac:dyDescent="0.6">
      <c r="A1201" s="50"/>
      <c r="B1201" s="51"/>
      <c r="C1201" s="51"/>
      <c r="D1201" s="52"/>
    </row>
    <row r="1202" spans="1:4" ht="42.75" customHeight="1" thickBot="1" x14ac:dyDescent="0.6">
      <c r="A1202" s="53"/>
      <c r="B1202" s="53"/>
      <c r="C1202" s="53"/>
      <c r="D1202" s="53"/>
    </row>
    <row r="1203" spans="1:4" ht="42.75" customHeight="1" thickBot="1" x14ac:dyDescent="0.6">
      <c r="A1203" s="1"/>
      <c r="B1203" s="2"/>
      <c r="C1203" s="2"/>
      <c r="D1203" s="3"/>
    </row>
    <row r="1204" spans="1:4" ht="42.75" customHeight="1" thickBot="1" x14ac:dyDescent="0.6">
      <c r="A1204" s="10"/>
      <c r="B1204" s="11"/>
      <c r="C1204" s="12"/>
      <c r="D1204" s="11"/>
    </row>
    <row r="1205" spans="1:4" ht="42.75" customHeight="1" thickBot="1" x14ac:dyDescent="0.6">
      <c r="A1205" s="14"/>
      <c r="B1205" s="15"/>
      <c r="C1205" s="16"/>
      <c r="D1205" s="17"/>
    </row>
    <row r="1206" spans="1:4" ht="42.75" customHeight="1" thickBot="1" x14ac:dyDescent="0.6">
      <c r="A1206" s="15"/>
      <c r="B1206" s="15"/>
      <c r="C1206" s="20"/>
      <c r="D1206" s="21"/>
    </row>
    <row r="1207" spans="1:4" ht="42.75" customHeight="1" thickBot="1" x14ac:dyDescent="0.6">
      <c r="A1207" s="23"/>
      <c r="B1207" s="24"/>
      <c r="C1207" s="25"/>
      <c r="D1207" s="26"/>
    </row>
    <row r="1208" spans="1:4" ht="42.75" customHeight="1" thickBot="1" x14ac:dyDescent="0.6">
      <c r="A1208" s="23"/>
      <c r="B1208" s="24"/>
      <c r="C1208" s="31"/>
      <c r="D1208" s="32"/>
    </row>
    <row r="1209" spans="1:4" ht="42.75" customHeight="1" thickBot="1" x14ac:dyDescent="0.7">
      <c r="A1209" s="34"/>
      <c r="B1209" s="35"/>
      <c r="C1209" s="36"/>
      <c r="D1209" s="32"/>
    </row>
    <row r="1210" spans="1:4" ht="42.75" customHeight="1" thickBot="1" x14ac:dyDescent="0.6">
      <c r="A1210" s="38"/>
      <c r="B1210" s="39"/>
      <c r="C1210" s="31"/>
      <c r="D1210" s="32"/>
    </row>
    <row r="1211" spans="1:4" ht="42.75" customHeight="1" thickBot="1" x14ac:dyDescent="0.6">
      <c r="A1211" s="40"/>
      <c r="B1211" s="41"/>
      <c r="C1211" s="31"/>
      <c r="D1211" s="32"/>
    </row>
    <row r="1212" spans="1:4" ht="42.75" customHeight="1" thickBot="1" x14ac:dyDescent="0.6">
      <c r="A1212" s="42"/>
      <c r="B1212" s="43"/>
      <c r="C1212" s="31"/>
      <c r="D1212" s="32"/>
    </row>
    <row r="1213" spans="1:4" ht="42.75" customHeight="1" thickBot="1" x14ac:dyDescent="0.6">
      <c r="A1213" s="44"/>
      <c r="B1213" s="45"/>
      <c r="C1213" s="45"/>
      <c r="D1213" s="46"/>
    </row>
    <row r="1214" spans="1:4" ht="42.75" customHeight="1" thickBot="1" x14ac:dyDescent="0.6">
      <c r="A1214" s="56"/>
      <c r="B1214" s="57"/>
      <c r="C1214" s="57"/>
      <c r="D1214" s="58"/>
    </row>
    <row r="1215" spans="1:4" ht="42.75" customHeight="1" thickBot="1" x14ac:dyDescent="0.6">
      <c r="A1215" s="50"/>
      <c r="B1215" s="51"/>
      <c r="C1215" s="51"/>
      <c r="D1215" s="52"/>
    </row>
    <row r="1216" spans="1:4" ht="42.75" customHeight="1" thickBot="1" x14ac:dyDescent="0.6">
      <c r="A1216" s="1"/>
      <c r="B1216" s="2"/>
      <c r="C1216" s="2"/>
      <c r="D1216" s="3"/>
    </row>
    <row r="1217" spans="1:4" ht="42.75" customHeight="1" thickBot="1" x14ac:dyDescent="0.6">
      <c r="A1217" s="10"/>
      <c r="B1217" s="11"/>
      <c r="C1217" s="12"/>
      <c r="D1217" s="11"/>
    </row>
    <row r="1218" spans="1:4" ht="42.75" customHeight="1" thickBot="1" x14ac:dyDescent="0.6">
      <c r="A1218" s="14"/>
      <c r="B1218" s="15"/>
      <c r="C1218" s="16"/>
      <c r="D1218" s="17"/>
    </row>
    <row r="1219" spans="1:4" ht="42.75" customHeight="1" thickBot="1" x14ac:dyDescent="0.6">
      <c r="A1219" s="15"/>
      <c r="B1219" s="15"/>
      <c r="C1219" s="20"/>
      <c r="D1219" s="21"/>
    </row>
    <row r="1220" spans="1:4" ht="42.75" customHeight="1" thickBot="1" x14ac:dyDescent="0.6">
      <c r="A1220" s="23"/>
      <c r="B1220" s="24"/>
      <c r="C1220" s="25"/>
      <c r="D1220" s="26"/>
    </row>
    <row r="1221" spans="1:4" ht="42.75" customHeight="1" thickBot="1" x14ac:dyDescent="0.6">
      <c r="A1221" s="23"/>
      <c r="B1221" s="24"/>
      <c r="C1221" s="31"/>
      <c r="D1221" s="32"/>
    </row>
    <row r="1222" spans="1:4" ht="42.75" customHeight="1" thickBot="1" x14ac:dyDescent="0.7">
      <c r="A1222" s="34"/>
      <c r="B1222" s="35"/>
      <c r="C1222" s="36"/>
      <c r="D1222" s="32"/>
    </row>
    <row r="1223" spans="1:4" ht="42.75" customHeight="1" thickBot="1" x14ac:dyDescent="0.6">
      <c r="A1223" s="38"/>
      <c r="B1223" s="39"/>
      <c r="C1223" s="31"/>
      <c r="D1223" s="32"/>
    </row>
    <row r="1224" spans="1:4" ht="42.75" customHeight="1" thickBot="1" x14ac:dyDescent="0.6">
      <c r="A1224" s="40"/>
      <c r="B1224" s="41"/>
      <c r="C1224" s="31"/>
      <c r="D1224" s="32"/>
    </row>
    <row r="1225" spans="1:4" ht="42.75" customHeight="1" thickBot="1" x14ac:dyDescent="0.6">
      <c r="A1225" s="42"/>
      <c r="B1225" s="43"/>
      <c r="C1225" s="31"/>
      <c r="D1225" s="32"/>
    </row>
    <row r="1226" spans="1:4" ht="42.75" customHeight="1" thickBot="1" x14ac:dyDescent="0.6">
      <c r="A1226" s="44"/>
      <c r="B1226" s="45"/>
      <c r="C1226" s="45"/>
      <c r="D1226" s="46"/>
    </row>
    <row r="1227" spans="1:4" ht="42.75" customHeight="1" thickBot="1" x14ac:dyDescent="0.6">
      <c r="A1227" s="47"/>
      <c r="B1227" s="48"/>
      <c r="C1227" s="48"/>
      <c r="D1227" s="49"/>
    </row>
    <row r="1228" spans="1:4" ht="42.75" customHeight="1" thickBot="1" x14ac:dyDescent="0.6">
      <c r="A1228" s="50"/>
      <c r="B1228" s="51"/>
      <c r="C1228" s="51"/>
      <c r="D1228" s="52"/>
    </row>
    <row r="1229" spans="1:4" ht="42.75" customHeight="1" thickBot="1" x14ac:dyDescent="0.6">
      <c r="A1229" s="53"/>
      <c r="B1229" s="53"/>
      <c r="C1229" s="53"/>
      <c r="D1229" s="53"/>
    </row>
    <row r="1230" spans="1:4" ht="42.75" customHeight="1" thickBot="1" x14ac:dyDescent="0.6">
      <c r="A1230" s="1"/>
      <c r="B1230" s="2"/>
      <c r="C1230" s="2"/>
      <c r="D1230" s="3"/>
    </row>
    <row r="1231" spans="1:4" ht="42.75" customHeight="1" thickBot="1" x14ac:dyDescent="0.6">
      <c r="A1231" s="10"/>
      <c r="B1231" s="11"/>
      <c r="C1231" s="12"/>
      <c r="D1231" s="11"/>
    </row>
    <row r="1232" spans="1:4" ht="42.75" customHeight="1" thickBot="1" x14ac:dyDescent="0.6">
      <c r="A1232" s="14"/>
      <c r="B1232" s="15"/>
      <c r="C1232" s="16"/>
      <c r="D1232" s="17"/>
    </row>
    <row r="1233" spans="1:4" ht="42.75" customHeight="1" thickBot="1" x14ac:dyDescent="0.6">
      <c r="A1233" s="15"/>
      <c r="B1233" s="15"/>
      <c r="C1233" s="20"/>
      <c r="D1233" s="21"/>
    </row>
    <row r="1234" spans="1:4" ht="42.75" customHeight="1" thickBot="1" x14ac:dyDescent="0.6">
      <c r="A1234" s="23"/>
      <c r="B1234" s="24"/>
      <c r="C1234" s="25"/>
      <c r="D1234" s="26"/>
    </row>
    <row r="1235" spans="1:4" ht="42.75" customHeight="1" thickBot="1" x14ac:dyDescent="0.6">
      <c r="A1235" s="23"/>
      <c r="B1235" s="24"/>
      <c r="C1235" s="31"/>
      <c r="D1235" s="32"/>
    </row>
    <row r="1236" spans="1:4" ht="42.75" customHeight="1" thickBot="1" x14ac:dyDescent="0.7">
      <c r="A1236" s="34"/>
      <c r="B1236" s="35"/>
      <c r="C1236" s="36"/>
      <c r="D1236" s="32"/>
    </row>
    <row r="1237" spans="1:4" ht="42.75" customHeight="1" thickBot="1" x14ac:dyDescent="0.6">
      <c r="A1237" s="38"/>
      <c r="B1237" s="39"/>
      <c r="C1237" s="31"/>
      <c r="D1237" s="32"/>
    </row>
    <row r="1238" spans="1:4" ht="42.75" customHeight="1" thickBot="1" x14ac:dyDescent="0.6">
      <c r="A1238" s="40"/>
      <c r="B1238" s="41"/>
      <c r="C1238" s="31"/>
      <c r="D1238" s="32"/>
    </row>
    <row r="1239" spans="1:4" ht="42.75" customHeight="1" thickBot="1" x14ac:dyDescent="0.6">
      <c r="A1239" s="42"/>
      <c r="B1239" s="43"/>
      <c r="C1239" s="31"/>
      <c r="D1239" s="32"/>
    </row>
    <row r="1240" spans="1:4" ht="42.75" customHeight="1" thickBot="1" x14ac:dyDescent="0.6">
      <c r="A1240" s="44"/>
      <c r="B1240" s="45"/>
      <c r="C1240" s="45"/>
      <c r="D1240" s="46"/>
    </row>
    <row r="1241" spans="1:4" ht="42.75" customHeight="1" thickBot="1" x14ac:dyDescent="0.6">
      <c r="A1241" s="56"/>
      <c r="B1241" s="57"/>
      <c r="C1241" s="57"/>
      <c r="D1241" s="58"/>
    </row>
    <row r="1242" spans="1:4" ht="42.75" customHeight="1" thickBot="1" x14ac:dyDescent="0.6">
      <c r="A1242" s="50"/>
      <c r="B1242" s="51"/>
      <c r="C1242" s="51"/>
      <c r="D1242" s="52"/>
    </row>
    <row r="1243" spans="1:4" ht="42.75" customHeight="1" thickBot="1" x14ac:dyDescent="0.6">
      <c r="A1243" s="1"/>
      <c r="B1243" s="2"/>
      <c r="C1243" s="2"/>
      <c r="D1243" s="3"/>
    </row>
    <row r="1244" spans="1:4" ht="42.75" customHeight="1" thickBot="1" x14ac:dyDescent="0.6">
      <c r="A1244" s="10"/>
      <c r="B1244" s="11"/>
      <c r="C1244" s="12"/>
      <c r="D1244" s="11"/>
    </row>
    <row r="1245" spans="1:4" ht="42.75" customHeight="1" thickBot="1" x14ac:dyDescent="0.6">
      <c r="A1245" s="14"/>
      <c r="B1245" s="15"/>
      <c r="C1245" s="16"/>
      <c r="D1245" s="17"/>
    </row>
    <row r="1246" spans="1:4" ht="42.75" customHeight="1" thickBot="1" x14ac:dyDescent="0.6">
      <c r="A1246" s="15"/>
      <c r="B1246" s="15"/>
      <c r="C1246" s="20"/>
      <c r="D1246" s="21"/>
    </row>
    <row r="1247" spans="1:4" ht="42.75" customHeight="1" thickBot="1" x14ac:dyDescent="0.6">
      <c r="A1247" s="23"/>
      <c r="B1247" s="24"/>
      <c r="C1247" s="25"/>
      <c r="D1247" s="26"/>
    </row>
    <row r="1248" spans="1:4" ht="42.75" customHeight="1" thickBot="1" x14ac:dyDescent="0.6">
      <c r="A1248" s="23"/>
      <c r="B1248" s="24"/>
      <c r="C1248" s="31"/>
      <c r="D1248" s="32"/>
    </row>
    <row r="1249" spans="1:4" ht="42.75" customHeight="1" thickBot="1" x14ac:dyDescent="0.7">
      <c r="A1249" s="34"/>
      <c r="B1249" s="35"/>
      <c r="C1249" s="36"/>
      <c r="D1249" s="32"/>
    </row>
    <row r="1250" spans="1:4" ht="42.75" customHeight="1" thickBot="1" x14ac:dyDescent="0.6">
      <c r="A1250" s="38"/>
      <c r="B1250" s="39"/>
      <c r="C1250" s="31"/>
      <c r="D1250" s="32"/>
    </row>
    <row r="1251" spans="1:4" ht="42.75" customHeight="1" thickBot="1" x14ac:dyDescent="0.6">
      <c r="A1251" s="40"/>
      <c r="B1251" s="41"/>
      <c r="C1251" s="31"/>
      <c r="D1251" s="32"/>
    </row>
    <row r="1252" spans="1:4" ht="42.75" customHeight="1" thickBot="1" x14ac:dyDescent="0.6">
      <c r="A1252" s="42"/>
      <c r="B1252" s="43"/>
      <c r="C1252" s="31"/>
      <c r="D1252" s="32"/>
    </row>
    <row r="1253" spans="1:4" ht="42.75" customHeight="1" thickBot="1" x14ac:dyDescent="0.6">
      <c r="A1253" s="44"/>
      <c r="B1253" s="45"/>
      <c r="C1253" s="45"/>
      <c r="D1253" s="46"/>
    </row>
    <row r="1254" spans="1:4" ht="42.75" customHeight="1" thickBot="1" x14ac:dyDescent="0.6">
      <c r="A1254" s="47"/>
      <c r="B1254" s="48"/>
      <c r="C1254" s="48"/>
      <c r="D1254" s="49"/>
    </row>
    <row r="1255" spans="1:4" ht="42.75" customHeight="1" thickBot="1" x14ac:dyDescent="0.6">
      <c r="A1255" s="50"/>
      <c r="B1255" s="51"/>
      <c r="C1255" s="51"/>
      <c r="D1255" s="52"/>
    </row>
    <row r="1256" spans="1:4" ht="42.75" customHeight="1" thickBot="1" x14ac:dyDescent="0.6">
      <c r="A1256" s="53"/>
      <c r="B1256" s="53"/>
      <c r="C1256" s="53"/>
      <c r="D1256" s="53"/>
    </row>
    <row r="1257" spans="1:4" ht="42.75" customHeight="1" thickBot="1" x14ac:dyDescent="0.6">
      <c r="A1257" s="1"/>
      <c r="B1257" s="2"/>
      <c r="C1257" s="2"/>
      <c r="D1257" s="3"/>
    </row>
    <row r="1258" spans="1:4" ht="42.75" customHeight="1" thickBot="1" x14ac:dyDescent="0.6">
      <c r="A1258" s="10"/>
      <c r="B1258" s="11"/>
      <c r="C1258" s="12"/>
      <c r="D1258" s="11"/>
    </row>
    <row r="1259" spans="1:4" ht="42.75" customHeight="1" thickBot="1" x14ac:dyDescent="0.6">
      <c r="A1259" s="14"/>
      <c r="B1259" s="15"/>
      <c r="C1259" s="16"/>
      <c r="D1259" s="17"/>
    </row>
    <row r="1260" spans="1:4" ht="42.75" customHeight="1" thickBot="1" x14ac:dyDescent="0.6">
      <c r="A1260" s="15"/>
      <c r="B1260" s="15"/>
      <c r="C1260" s="20"/>
      <c r="D1260" s="21"/>
    </row>
    <row r="1261" spans="1:4" ht="42.75" customHeight="1" thickBot="1" x14ac:dyDescent="0.6">
      <c r="A1261" s="23"/>
      <c r="B1261" s="24"/>
      <c r="C1261" s="25"/>
      <c r="D1261" s="26"/>
    </row>
    <row r="1262" spans="1:4" ht="42.75" customHeight="1" thickBot="1" x14ac:dyDescent="0.6">
      <c r="A1262" s="23"/>
      <c r="B1262" s="24"/>
      <c r="C1262" s="31"/>
      <c r="D1262" s="32"/>
    </row>
    <row r="1263" spans="1:4" ht="42.75" customHeight="1" thickBot="1" x14ac:dyDescent="0.7">
      <c r="A1263" s="34"/>
      <c r="B1263" s="35"/>
      <c r="C1263" s="36"/>
      <c r="D1263" s="32"/>
    </row>
    <row r="1264" spans="1:4" ht="42.75" customHeight="1" thickBot="1" x14ac:dyDescent="0.6">
      <c r="A1264" s="38"/>
      <c r="B1264" s="39"/>
      <c r="C1264" s="31"/>
      <c r="D1264" s="32"/>
    </row>
    <row r="1265" spans="1:4" ht="42.75" customHeight="1" thickBot="1" x14ac:dyDescent="0.6">
      <c r="A1265" s="40"/>
      <c r="B1265" s="41"/>
      <c r="C1265" s="31"/>
      <c r="D1265" s="32"/>
    </row>
    <row r="1266" spans="1:4" ht="42.75" customHeight="1" thickBot="1" x14ac:dyDescent="0.6">
      <c r="A1266" s="42"/>
      <c r="B1266" s="43"/>
      <c r="C1266" s="31"/>
      <c r="D1266" s="32"/>
    </row>
    <row r="1267" spans="1:4" ht="42.75" customHeight="1" thickBot="1" x14ac:dyDescent="0.6">
      <c r="A1267" s="44"/>
      <c r="B1267" s="45"/>
      <c r="C1267" s="45"/>
      <c r="D1267" s="46"/>
    </row>
    <row r="1268" spans="1:4" ht="42.75" customHeight="1" thickBot="1" x14ac:dyDescent="0.6">
      <c r="A1268" s="56"/>
      <c r="B1268" s="57"/>
      <c r="C1268" s="57"/>
      <c r="D1268" s="58"/>
    </row>
    <row r="1269" spans="1:4" ht="42.75" customHeight="1" thickBot="1" x14ac:dyDescent="0.6">
      <c r="A1269" s="50"/>
      <c r="B1269" s="51"/>
      <c r="C1269" s="51"/>
      <c r="D1269" s="52"/>
    </row>
    <row r="1270" spans="1:4" ht="42.75" customHeight="1" thickBot="1" x14ac:dyDescent="0.6">
      <c r="A1270" s="1"/>
      <c r="B1270" s="2"/>
      <c r="C1270" s="2"/>
      <c r="D1270" s="3"/>
    </row>
    <row r="1271" spans="1:4" ht="42.75" customHeight="1" thickBot="1" x14ac:dyDescent="0.6">
      <c r="A1271" s="10"/>
      <c r="B1271" s="11"/>
      <c r="C1271" s="12"/>
      <c r="D1271" s="11"/>
    </row>
    <row r="1272" spans="1:4" ht="42.75" customHeight="1" thickBot="1" x14ac:dyDescent="0.6">
      <c r="A1272" s="14"/>
      <c r="B1272" s="15"/>
      <c r="C1272" s="16"/>
      <c r="D1272" s="17"/>
    </row>
    <row r="1273" spans="1:4" ht="42.75" customHeight="1" thickBot="1" x14ac:dyDescent="0.6">
      <c r="A1273" s="15"/>
      <c r="B1273" s="15"/>
      <c r="C1273" s="20"/>
      <c r="D1273" s="21"/>
    </row>
    <row r="1274" spans="1:4" ht="42.75" customHeight="1" thickBot="1" x14ac:dyDescent="0.6">
      <c r="A1274" s="23"/>
      <c r="B1274" s="24"/>
      <c r="C1274" s="25"/>
      <c r="D1274" s="26"/>
    </row>
    <row r="1275" spans="1:4" ht="42.75" customHeight="1" thickBot="1" x14ac:dyDescent="0.6">
      <c r="A1275" s="23"/>
      <c r="B1275" s="24"/>
      <c r="C1275" s="31"/>
      <c r="D1275" s="32"/>
    </row>
    <row r="1276" spans="1:4" ht="42.75" customHeight="1" thickBot="1" x14ac:dyDescent="0.7">
      <c r="A1276" s="34"/>
      <c r="B1276" s="35"/>
      <c r="C1276" s="36"/>
      <c r="D1276" s="32"/>
    </row>
    <row r="1277" spans="1:4" ht="42.75" customHeight="1" thickBot="1" x14ac:dyDescent="0.6">
      <c r="A1277" s="38"/>
      <c r="B1277" s="39"/>
      <c r="C1277" s="31"/>
      <c r="D1277" s="32"/>
    </row>
    <row r="1278" spans="1:4" ht="42.75" customHeight="1" thickBot="1" x14ac:dyDescent="0.6">
      <c r="A1278" s="40"/>
      <c r="B1278" s="41"/>
      <c r="C1278" s="31"/>
      <c r="D1278" s="32"/>
    </row>
    <row r="1279" spans="1:4" ht="42.75" customHeight="1" thickBot="1" x14ac:dyDescent="0.6">
      <c r="A1279" s="42"/>
      <c r="B1279" s="43"/>
      <c r="C1279" s="31"/>
      <c r="D1279" s="32"/>
    </row>
    <row r="1280" spans="1:4" ht="42.75" customHeight="1" thickBot="1" x14ac:dyDescent="0.6">
      <c r="A1280" s="44"/>
      <c r="B1280" s="45"/>
      <c r="C1280" s="45"/>
      <c r="D1280" s="46"/>
    </row>
    <row r="1281" spans="1:4" ht="42.75" customHeight="1" thickBot="1" x14ac:dyDescent="0.6">
      <c r="A1281" s="47"/>
      <c r="B1281" s="48"/>
      <c r="C1281" s="48"/>
      <c r="D1281" s="49"/>
    </row>
    <row r="1282" spans="1:4" ht="42.75" customHeight="1" thickBot="1" x14ac:dyDescent="0.6">
      <c r="A1282" s="50"/>
      <c r="B1282" s="51"/>
      <c r="C1282" s="51"/>
      <c r="D1282" s="52"/>
    </row>
    <row r="1283" spans="1:4" ht="42.75" customHeight="1" thickBot="1" x14ac:dyDescent="0.6">
      <c r="A1283" s="53"/>
      <c r="B1283" s="53"/>
      <c r="C1283" s="53"/>
      <c r="D1283" s="53"/>
    </row>
    <row r="1284" spans="1:4" ht="42.75" customHeight="1" thickBot="1" x14ac:dyDescent="0.6">
      <c r="A1284" s="1"/>
      <c r="B1284" s="2"/>
      <c r="C1284" s="2"/>
      <c r="D1284" s="3"/>
    </row>
    <row r="1285" spans="1:4" ht="42.75" customHeight="1" thickBot="1" x14ac:dyDescent="0.6">
      <c r="A1285" s="10"/>
      <c r="B1285" s="11"/>
      <c r="C1285" s="12"/>
      <c r="D1285" s="11"/>
    </row>
    <row r="1286" spans="1:4" ht="42.75" customHeight="1" thickBot="1" x14ac:dyDescent="0.6">
      <c r="A1286" s="14"/>
      <c r="B1286" s="15"/>
      <c r="C1286" s="16"/>
      <c r="D1286" s="17"/>
    </row>
    <row r="1287" spans="1:4" ht="42.75" customHeight="1" thickBot="1" x14ac:dyDescent="0.6">
      <c r="A1287" s="15"/>
      <c r="B1287" s="15"/>
      <c r="C1287" s="20"/>
      <c r="D1287" s="21"/>
    </row>
    <row r="1288" spans="1:4" ht="42.75" customHeight="1" thickBot="1" x14ac:dyDescent="0.6">
      <c r="A1288" s="23"/>
      <c r="B1288" s="24"/>
      <c r="C1288" s="25"/>
      <c r="D1288" s="26"/>
    </row>
    <row r="1289" spans="1:4" ht="42.75" customHeight="1" thickBot="1" x14ac:dyDescent="0.6">
      <c r="A1289" s="23"/>
      <c r="B1289" s="24"/>
      <c r="C1289" s="31"/>
      <c r="D1289" s="32"/>
    </row>
    <row r="1290" spans="1:4" ht="42.75" customHeight="1" thickBot="1" x14ac:dyDescent="0.7">
      <c r="A1290" s="34"/>
      <c r="B1290" s="35"/>
      <c r="C1290" s="36"/>
      <c r="D1290" s="32"/>
    </row>
    <row r="1291" spans="1:4" ht="42.75" customHeight="1" thickBot="1" x14ac:dyDescent="0.6">
      <c r="A1291" s="38"/>
      <c r="B1291" s="39"/>
      <c r="C1291" s="31"/>
      <c r="D1291" s="32"/>
    </row>
    <row r="1292" spans="1:4" ht="42.75" customHeight="1" thickBot="1" x14ac:dyDescent="0.6">
      <c r="A1292" s="40"/>
      <c r="B1292" s="41"/>
      <c r="C1292" s="31"/>
      <c r="D1292" s="32"/>
    </row>
    <row r="1293" spans="1:4" ht="42.75" customHeight="1" thickBot="1" x14ac:dyDescent="0.6">
      <c r="A1293" s="42"/>
      <c r="B1293" s="43"/>
      <c r="C1293" s="31"/>
      <c r="D1293" s="32"/>
    </row>
    <row r="1294" spans="1:4" ht="42.75" customHeight="1" thickBot="1" x14ac:dyDescent="0.6">
      <c r="A1294" s="44"/>
      <c r="B1294" s="45"/>
      <c r="C1294" s="45"/>
      <c r="D1294" s="46"/>
    </row>
    <row r="1295" spans="1:4" ht="42.75" customHeight="1" thickBot="1" x14ac:dyDescent="0.6">
      <c r="A1295" s="56"/>
      <c r="B1295" s="57"/>
      <c r="C1295" s="57"/>
      <c r="D1295" s="58"/>
    </row>
    <row r="1296" spans="1:4" ht="42.75" customHeight="1" thickBot="1" x14ac:dyDescent="0.6">
      <c r="A1296" s="50"/>
      <c r="B1296" s="51"/>
      <c r="C1296" s="51"/>
      <c r="D1296" s="52"/>
    </row>
    <row r="1297" spans="1:4" ht="42.75" customHeight="1" thickBot="1" x14ac:dyDescent="0.6">
      <c r="A1297" s="1"/>
      <c r="B1297" s="2"/>
      <c r="C1297" s="2"/>
      <c r="D1297" s="3"/>
    </row>
    <row r="1298" spans="1:4" ht="42.75" customHeight="1" thickBot="1" x14ac:dyDescent="0.6">
      <c r="A1298" s="10"/>
      <c r="B1298" s="11"/>
      <c r="C1298" s="12"/>
      <c r="D1298" s="11"/>
    </row>
    <row r="1299" spans="1:4" ht="42.75" customHeight="1" thickBot="1" x14ac:dyDescent="0.6">
      <c r="A1299" s="14"/>
      <c r="B1299" s="15"/>
      <c r="C1299" s="16"/>
      <c r="D1299" s="17"/>
    </row>
    <row r="1300" spans="1:4" ht="42.75" customHeight="1" thickBot="1" x14ac:dyDescent="0.6">
      <c r="A1300" s="15"/>
      <c r="B1300" s="15"/>
      <c r="C1300" s="20"/>
      <c r="D1300" s="21"/>
    </row>
    <row r="1301" spans="1:4" ht="42.75" customHeight="1" thickBot="1" x14ac:dyDescent="0.6">
      <c r="A1301" s="23"/>
      <c r="B1301" s="24"/>
      <c r="C1301" s="25"/>
      <c r="D1301" s="26"/>
    </row>
    <row r="1302" spans="1:4" ht="42.75" customHeight="1" thickBot="1" x14ac:dyDescent="0.6">
      <c r="A1302" s="23"/>
      <c r="B1302" s="24"/>
      <c r="C1302" s="31"/>
      <c r="D1302" s="32"/>
    </row>
    <row r="1303" spans="1:4" ht="42.75" customHeight="1" thickBot="1" x14ac:dyDescent="0.7">
      <c r="A1303" s="34"/>
      <c r="B1303" s="35"/>
      <c r="C1303" s="36"/>
      <c r="D1303" s="32"/>
    </row>
    <row r="1304" spans="1:4" ht="42.75" customHeight="1" thickBot="1" x14ac:dyDescent="0.6">
      <c r="A1304" s="38"/>
      <c r="B1304" s="39"/>
      <c r="C1304" s="31"/>
      <c r="D1304" s="32"/>
    </row>
    <row r="1305" spans="1:4" ht="42.75" customHeight="1" thickBot="1" x14ac:dyDescent="0.6">
      <c r="A1305" s="40"/>
      <c r="B1305" s="41"/>
      <c r="C1305" s="31"/>
      <c r="D1305" s="32"/>
    </row>
    <row r="1306" spans="1:4" ht="42.75" customHeight="1" thickBot="1" x14ac:dyDescent="0.6">
      <c r="A1306" s="42"/>
      <c r="B1306" s="43"/>
      <c r="C1306" s="31"/>
      <c r="D1306" s="32"/>
    </row>
    <row r="1307" spans="1:4" ht="42.75" customHeight="1" thickBot="1" x14ac:dyDescent="0.6">
      <c r="A1307" s="44"/>
      <c r="B1307" s="45"/>
      <c r="C1307" s="45"/>
      <c r="D1307" s="46"/>
    </row>
    <row r="1308" spans="1:4" ht="42.75" customHeight="1" thickBot="1" x14ac:dyDescent="0.6">
      <c r="A1308" s="47"/>
      <c r="B1308" s="48"/>
      <c r="C1308" s="48"/>
      <c r="D1308" s="49"/>
    </row>
    <row r="1309" spans="1:4" ht="42.75" customHeight="1" thickBot="1" x14ac:dyDescent="0.6">
      <c r="A1309" s="50"/>
      <c r="B1309" s="51"/>
      <c r="C1309" s="51"/>
      <c r="D1309" s="52"/>
    </row>
    <row r="1310" spans="1:4" ht="42.75" customHeight="1" thickBot="1" x14ac:dyDescent="0.6">
      <c r="A1310" s="53"/>
      <c r="B1310" s="53"/>
      <c r="C1310" s="53"/>
      <c r="D1310" s="53"/>
    </row>
    <row r="1311" spans="1:4" ht="42.75" customHeight="1" thickBot="1" x14ac:dyDescent="0.6">
      <c r="A1311" s="1"/>
      <c r="B1311" s="2"/>
      <c r="C1311" s="2"/>
      <c r="D1311" s="3"/>
    </row>
    <row r="1312" spans="1:4" ht="42.75" customHeight="1" thickBot="1" x14ac:dyDescent="0.6">
      <c r="A1312" s="10"/>
      <c r="B1312" s="11"/>
      <c r="C1312" s="12"/>
      <c r="D1312" s="11"/>
    </row>
    <row r="1313" spans="1:4" ht="42.75" customHeight="1" thickBot="1" x14ac:dyDescent="0.6">
      <c r="A1313" s="14"/>
      <c r="B1313" s="15"/>
      <c r="C1313" s="16"/>
      <c r="D1313" s="17"/>
    </row>
    <row r="1314" spans="1:4" ht="42.75" customHeight="1" thickBot="1" x14ac:dyDescent="0.6">
      <c r="A1314" s="15"/>
      <c r="B1314" s="15"/>
      <c r="C1314" s="20"/>
      <c r="D1314" s="21"/>
    </row>
    <row r="1315" spans="1:4" ht="42.75" customHeight="1" thickBot="1" x14ac:dyDescent="0.6">
      <c r="A1315" s="23"/>
      <c r="B1315" s="24"/>
      <c r="C1315" s="25"/>
      <c r="D1315" s="26"/>
    </row>
    <row r="1316" spans="1:4" ht="42.75" customHeight="1" thickBot="1" x14ac:dyDescent="0.6">
      <c r="A1316" s="23"/>
      <c r="B1316" s="24"/>
      <c r="C1316" s="31"/>
      <c r="D1316" s="32"/>
    </row>
    <row r="1317" spans="1:4" ht="42.75" customHeight="1" thickBot="1" x14ac:dyDescent="0.7">
      <c r="A1317" s="34"/>
      <c r="B1317" s="35"/>
      <c r="C1317" s="36"/>
      <c r="D1317" s="32"/>
    </row>
    <row r="1318" spans="1:4" ht="42.75" customHeight="1" thickBot="1" x14ac:dyDescent="0.6">
      <c r="A1318" s="38"/>
      <c r="B1318" s="39"/>
      <c r="C1318" s="31"/>
      <c r="D1318" s="32"/>
    </row>
    <row r="1319" spans="1:4" ht="42.75" customHeight="1" thickBot="1" x14ac:dyDescent="0.6">
      <c r="A1319" s="40"/>
      <c r="B1319" s="41"/>
      <c r="C1319" s="31"/>
      <c r="D1319" s="32"/>
    </row>
    <row r="1320" spans="1:4" ht="42.75" customHeight="1" thickBot="1" x14ac:dyDescent="0.6">
      <c r="A1320" s="42"/>
      <c r="B1320" s="43"/>
      <c r="C1320" s="31"/>
      <c r="D1320" s="32"/>
    </row>
    <row r="1321" spans="1:4" ht="42.75" customHeight="1" thickBot="1" x14ac:dyDescent="0.6">
      <c r="A1321" s="44"/>
      <c r="B1321" s="45"/>
      <c r="C1321" s="45"/>
      <c r="D1321" s="46"/>
    </row>
    <row r="1322" spans="1:4" ht="42.75" customHeight="1" thickBot="1" x14ac:dyDescent="0.6">
      <c r="A1322" s="56"/>
      <c r="B1322" s="57"/>
      <c r="C1322" s="57"/>
      <c r="D1322" s="58"/>
    </row>
    <row r="1323" spans="1:4" ht="42.75" customHeight="1" thickBot="1" x14ac:dyDescent="0.6">
      <c r="A1323" s="50"/>
      <c r="B1323" s="51"/>
      <c r="C1323" s="51"/>
      <c r="D1323" s="52"/>
    </row>
    <row r="1324" spans="1:4" ht="42.75" customHeight="1" thickBot="1" x14ac:dyDescent="0.6">
      <c r="A1324" s="1"/>
      <c r="B1324" s="2"/>
      <c r="C1324" s="2"/>
      <c r="D1324" s="3"/>
    </row>
    <row r="1325" spans="1:4" ht="42.75" customHeight="1" thickBot="1" x14ac:dyDescent="0.6">
      <c r="A1325" s="10"/>
      <c r="B1325" s="11"/>
      <c r="C1325" s="12"/>
      <c r="D1325" s="11"/>
    </row>
    <row r="1326" spans="1:4" ht="42.75" customHeight="1" thickBot="1" x14ac:dyDescent="0.6">
      <c r="A1326" s="14"/>
      <c r="B1326" s="15"/>
      <c r="C1326" s="16"/>
      <c r="D1326" s="17"/>
    </row>
    <row r="1327" spans="1:4" ht="42.75" customHeight="1" thickBot="1" x14ac:dyDescent="0.6">
      <c r="A1327" s="15"/>
      <c r="B1327" s="15"/>
      <c r="C1327" s="20"/>
      <c r="D1327" s="21"/>
    </row>
    <row r="1328" spans="1:4" ht="42.75" customHeight="1" thickBot="1" x14ac:dyDescent="0.6">
      <c r="A1328" s="23"/>
      <c r="B1328" s="24"/>
      <c r="C1328" s="25"/>
      <c r="D1328" s="26"/>
    </row>
    <row r="1329" spans="1:4" ht="42.75" customHeight="1" thickBot="1" x14ac:dyDescent="0.6">
      <c r="A1329" s="23"/>
      <c r="B1329" s="24"/>
      <c r="C1329" s="31"/>
      <c r="D1329" s="32"/>
    </row>
    <row r="1330" spans="1:4" ht="42.75" customHeight="1" thickBot="1" x14ac:dyDescent="0.7">
      <c r="A1330" s="34"/>
      <c r="B1330" s="35"/>
      <c r="C1330" s="36"/>
      <c r="D1330" s="32"/>
    </row>
    <row r="1331" spans="1:4" ht="42.75" customHeight="1" thickBot="1" x14ac:dyDescent="0.6">
      <c r="A1331" s="38"/>
      <c r="B1331" s="39"/>
      <c r="C1331" s="31"/>
      <c r="D1331" s="32"/>
    </row>
    <row r="1332" spans="1:4" ht="42.75" customHeight="1" thickBot="1" x14ac:dyDescent="0.6">
      <c r="A1332" s="40"/>
      <c r="B1332" s="41"/>
      <c r="C1332" s="31"/>
      <c r="D1332" s="32"/>
    </row>
    <row r="1333" spans="1:4" ht="42.75" customHeight="1" thickBot="1" x14ac:dyDescent="0.6">
      <c r="A1333" s="42"/>
      <c r="B1333" s="43"/>
      <c r="C1333" s="31"/>
      <c r="D1333" s="32"/>
    </row>
    <row r="1334" spans="1:4" ht="42.75" customHeight="1" thickBot="1" x14ac:dyDescent="0.6">
      <c r="A1334" s="44"/>
      <c r="B1334" s="45"/>
      <c r="C1334" s="45"/>
      <c r="D1334" s="46"/>
    </row>
    <row r="1335" spans="1:4" ht="42.75" customHeight="1" thickBot="1" x14ac:dyDescent="0.6">
      <c r="A1335" s="47"/>
      <c r="B1335" s="48"/>
      <c r="C1335" s="48"/>
      <c r="D1335" s="49"/>
    </row>
    <row r="1336" spans="1:4" ht="42.75" customHeight="1" thickBot="1" x14ac:dyDescent="0.6">
      <c r="A1336" s="50"/>
      <c r="B1336" s="51"/>
      <c r="C1336" s="51"/>
      <c r="D1336" s="52"/>
    </row>
    <row r="1337" spans="1:4" ht="42.75" customHeight="1" thickBot="1" x14ac:dyDescent="0.6">
      <c r="A1337" s="53"/>
      <c r="B1337" s="53"/>
      <c r="C1337" s="53"/>
      <c r="D1337" s="53"/>
    </row>
    <row r="1338" spans="1:4" ht="42.75" customHeight="1" thickBot="1" x14ac:dyDescent="0.6">
      <c r="A1338" s="1"/>
      <c r="B1338" s="2"/>
      <c r="C1338" s="2"/>
      <c r="D1338" s="3"/>
    </row>
    <row r="1339" spans="1:4" ht="42.75" customHeight="1" thickBot="1" x14ac:dyDescent="0.6">
      <c r="A1339" s="10"/>
      <c r="B1339" s="11"/>
      <c r="C1339" s="12"/>
      <c r="D1339" s="11"/>
    </row>
    <row r="1340" spans="1:4" ht="42.75" customHeight="1" thickBot="1" x14ac:dyDescent="0.6">
      <c r="A1340" s="14"/>
      <c r="B1340" s="15"/>
      <c r="C1340" s="16"/>
      <c r="D1340" s="17"/>
    </row>
    <row r="1341" spans="1:4" ht="42.75" customHeight="1" thickBot="1" x14ac:dyDescent="0.6">
      <c r="A1341" s="15"/>
      <c r="B1341" s="15"/>
      <c r="C1341" s="20"/>
      <c r="D1341" s="21"/>
    </row>
    <row r="1342" spans="1:4" ht="42.75" customHeight="1" thickBot="1" x14ac:dyDescent="0.6">
      <c r="A1342" s="23"/>
      <c r="B1342" s="24"/>
      <c r="C1342" s="25"/>
      <c r="D1342" s="26"/>
    </row>
    <row r="1343" spans="1:4" ht="42.75" customHeight="1" thickBot="1" x14ac:dyDescent="0.6">
      <c r="A1343" s="23"/>
      <c r="B1343" s="24"/>
      <c r="C1343" s="31"/>
      <c r="D1343" s="32"/>
    </row>
    <row r="1344" spans="1:4" ht="42.75" customHeight="1" thickBot="1" x14ac:dyDescent="0.7">
      <c r="A1344" s="34"/>
      <c r="B1344" s="35"/>
      <c r="C1344" s="36"/>
      <c r="D1344" s="32"/>
    </row>
    <row r="1345" spans="1:4" ht="42.75" customHeight="1" thickBot="1" x14ac:dyDescent="0.6">
      <c r="A1345" s="38"/>
      <c r="B1345" s="39"/>
      <c r="C1345" s="31"/>
      <c r="D1345" s="32"/>
    </row>
    <row r="1346" spans="1:4" ht="42.75" customHeight="1" thickBot="1" x14ac:dyDescent="0.6">
      <c r="A1346" s="40"/>
      <c r="B1346" s="41"/>
      <c r="C1346" s="31"/>
      <c r="D1346" s="32"/>
    </row>
    <row r="1347" spans="1:4" ht="42.75" customHeight="1" thickBot="1" x14ac:dyDescent="0.6">
      <c r="A1347" s="42"/>
      <c r="B1347" s="43"/>
      <c r="C1347" s="31"/>
      <c r="D1347" s="32"/>
    </row>
    <row r="1348" spans="1:4" ht="42.75" customHeight="1" thickBot="1" x14ac:dyDescent="0.6">
      <c r="A1348" s="44"/>
      <c r="B1348" s="45"/>
      <c r="C1348" s="45"/>
      <c r="D1348" s="46"/>
    </row>
    <row r="1349" spans="1:4" ht="42.75" customHeight="1" thickBot="1" x14ac:dyDescent="0.6">
      <c r="A1349" s="56"/>
      <c r="B1349" s="57"/>
      <c r="C1349" s="57"/>
      <c r="D1349" s="58"/>
    </row>
    <row r="1350" spans="1:4" ht="42.75" customHeight="1" thickBot="1" x14ac:dyDescent="0.6">
      <c r="A1350" s="50"/>
      <c r="B1350" s="51"/>
      <c r="C1350" s="51"/>
      <c r="D1350" s="52"/>
    </row>
  </sheetData>
  <mergeCells count="1951">
    <mergeCell ref="A1348:D1348"/>
    <mergeCell ref="A1349:D1349"/>
    <mergeCell ref="A1350:D1350"/>
    <mergeCell ref="A1345:B1345"/>
    <mergeCell ref="C1345:D1345"/>
    <mergeCell ref="A1346:B1346"/>
    <mergeCell ref="C1346:D1346"/>
    <mergeCell ref="A1347:B1347"/>
    <mergeCell ref="C1347:D1347"/>
    <mergeCell ref="C1340:D1340"/>
    <mergeCell ref="A1342:B1342"/>
    <mergeCell ref="C1342:D1342"/>
    <mergeCell ref="A1343:B1343"/>
    <mergeCell ref="C1343:D1343"/>
    <mergeCell ref="A1344:B1344"/>
    <mergeCell ref="C1344:D1344"/>
    <mergeCell ref="A1334:D1334"/>
    <mergeCell ref="A1335:D1335"/>
    <mergeCell ref="A1336:D1336"/>
    <mergeCell ref="A1337:D1337"/>
    <mergeCell ref="A1338:D1338"/>
    <mergeCell ref="A1339:B1339"/>
    <mergeCell ref="C1339:D1339"/>
    <mergeCell ref="A1331:B1331"/>
    <mergeCell ref="C1331:D1331"/>
    <mergeCell ref="A1332:B1332"/>
    <mergeCell ref="C1332:D1332"/>
    <mergeCell ref="A1333:B1333"/>
    <mergeCell ref="C1333:D1333"/>
    <mergeCell ref="C1326:D1326"/>
    <mergeCell ref="A1328:B1328"/>
    <mergeCell ref="C1328:D1328"/>
    <mergeCell ref="A1329:B1329"/>
    <mergeCell ref="C1329:D1329"/>
    <mergeCell ref="A1330:B1330"/>
    <mergeCell ref="C1330:D1330"/>
    <mergeCell ref="A1321:D1321"/>
    <mergeCell ref="A1322:D1322"/>
    <mergeCell ref="A1323:D1323"/>
    <mergeCell ref="A1324:D1324"/>
    <mergeCell ref="A1325:B1325"/>
    <mergeCell ref="C1325:D1325"/>
    <mergeCell ref="A1318:B1318"/>
    <mergeCell ref="C1318:D1318"/>
    <mergeCell ref="A1319:B1319"/>
    <mergeCell ref="C1319:D1319"/>
    <mergeCell ref="A1320:B1320"/>
    <mergeCell ref="C1320:D1320"/>
    <mergeCell ref="C1313:D1313"/>
    <mergeCell ref="A1315:B1315"/>
    <mergeCell ref="C1315:D1315"/>
    <mergeCell ref="A1316:B1316"/>
    <mergeCell ref="C1316:D1316"/>
    <mergeCell ref="A1317:B1317"/>
    <mergeCell ref="C1317:D1317"/>
    <mergeCell ref="A1307:D1307"/>
    <mergeCell ref="A1308:D1308"/>
    <mergeCell ref="A1309:D1309"/>
    <mergeCell ref="A1310:D1310"/>
    <mergeCell ref="A1311:D1311"/>
    <mergeCell ref="A1312:B1312"/>
    <mergeCell ref="C1312:D1312"/>
    <mergeCell ref="A1304:B1304"/>
    <mergeCell ref="C1304:D1304"/>
    <mergeCell ref="A1305:B1305"/>
    <mergeCell ref="C1305:D1305"/>
    <mergeCell ref="A1306:B1306"/>
    <mergeCell ref="C1306:D1306"/>
    <mergeCell ref="C1299:D1299"/>
    <mergeCell ref="A1301:B1301"/>
    <mergeCell ref="C1301:D1301"/>
    <mergeCell ref="A1302:B1302"/>
    <mergeCell ref="C1302:D1302"/>
    <mergeCell ref="A1303:B1303"/>
    <mergeCell ref="C1303:D1303"/>
    <mergeCell ref="A1294:D1294"/>
    <mergeCell ref="A1295:D1295"/>
    <mergeCell ref="A1296:D1296"/>
    <mergeCell ref="A1297:D1297"/>
    <mergeCell ref="A1298:B1298"/>
    <mergeCell ref="C1298:D1298"/>
    <mergeCell ref="A1291:B1291"/>
    <mergeCell ref="C1291:D1291"/>
    <mergeCell ref="A1292:B1292"/>
    <mergeCell ref="C1292:D1292"/>
    <mergeCell ref="A1293:B1293"/>
    <mergeCell ref="C1293:D1293"/>
    <mergeCell ref="C1286:D1286"/>
    <mergeCell ref="A1288:B1288"/>
    <mergeCell ref="C1288:D1288"/>
    <mergeCell ref="A1289:B1289"/>
    <mergeCell ref="C1289:D1289"/>
    <mergeCell ref="A1290:B1290"/>
    <mergeCell ref="C1290:D1290"/>
    <mergeCell ref="A1280:D1280"/>
    <mergeCell ref="A1281:D1281"/>
    <mergeCell ref="A1282:D1282"/>
    <mergeCell ref="A1283:D1283"/>
    <mergeCell ref="A1284:D1284"/>
    <mergeCell ref="A1285:B1285"/>
    <mergeCell ref="C1285:D1285"/>
    <mergeCell ref="A1277:B1277"/>
    <mergeCell ref="C1277:D1277"/>
    <mergeCell ref="A1278:B1278"/>
    <mergeCell ref="C1278:D1278"/>
    <mergeCell ref="A1279:B1279"/>
    <mergeCell ref="C1279:D1279"/>
    <mergeCell ref="C1272:D1272"/>
    <mergeCell ref="A1274:B1274"/>
    <mergeCell ref="C1274:D1274"/>
    <mergeCell ref="A1275:B1275"/>
    <mergeCell ref="C1275:D1275"/>
    <mergeCell ref="A1276:B1276"/>
    <mergeCell ref="C1276:D1276"/>
    <mergeCell ref="A1267:D1267"/>
    <mergeCell ref="A1268:D1268"/>
    <mergeCell ref="A1269:D1269"/>
    <mergeCell ref="A1270:D1270"/>
    <mergeCell ref="A1271:B1271"/>
    <mergeCell ref="C1271:D1271"/>
    <mergeCell ref="A1264:B1264"/>
    <mergeCell ref="C1264:D1264"/>
    <mergeCell ref="A1265:B1265"/>
    <mergeCell ref="C1265:D1265"/>
    <mergeCell ref="A1266:B1266"/>
    <mergeCell ref="C1266:D1266"/>
    <mergeCell ref="C1259:D1259"/>
    <mergeCell ref="A1261:B1261"/>
    <mergeCell ref="C1261:D1261"/>
    <mergeCell ref="A1262:B1262"/>
    <mergeCell ref="C1262:D1262"/>
    <mergeCell ref="A1263:B1263"/>
    <mergeCell ref="C1263:D1263"/>
    <mergeCell ref="A1253:D1253"/>
    <mergeCell ref="A1254:D1254"/>
    <mergeCell ref="A1255:D1255"/>
    <mergeCell ref="A1256:D1256"/>
    <mergeCell ref="A1257:D1257"/>
    <mergeCell ref="A1258:B1258"/>
    <mergeCell ref="C1258:D1258"/>
    <mergeCell ref="A1250:B1250"/>
    <mergeCell ref="C1250:D1250"/>
    <mergeCell ref="A1251:B1251"/>
    <mergeCell ref="C1251:D1251"/>
    <mergeCell ref="A1252:B1252"/>
    <mergeCell ref="C1252:D1252"/>
    <mergeCell ref="C1245:D1245"/>
    <mergeCell ref="A1247:B1247"/>
    <mergeCell ref="C1247:D1247"/>
    <mergeCell ref="A1248:B1248"/>
    <mergeCell ref="C1248:D1248"/>
    <mergeCell ref="A1249:B1249"/>
    <mergeCell ref="C1249:D1249"/>
    <mergeCell ref="A1240:D1240"/>
    <mergeCell ref="A1241:D1241"/>
    <mergeCell ref="A1242:D1242"/>
    <mergeCell ref="A1243:D1243"/>
    <mergeCell ref="A1244:B1244"/>
    <mergeCell ref="C1244:D1244"/>
    <mergeCell ref="A1237:B1237"/>
    <mergeCell ref="C1237:D1237"/>
    <mergeCell ref="A1238:B1238"/>
    <mergeCell ref="C1238:D1238"/>
    <mergeCell ref="A1239:B1239"/>
    <mergeCell ref="C1239:D1239"/>
    <mergeCell ref="C1232:D1232"/>
    <mergeCell ref="A1234:B1234"/>
    <mergeCell ref="C1234:D1234"/>
    <mergeCell ref="A1235:B1235"/>
    <mergeCell ref="C1235:D1235"/>
    <mergeCell ref="A1236:B1236"/>
    <mergeCell ref="C1236:D1236"/>
    <mergeCell ref="A1226:D1226"/>
    <mergeCell ref="A1227:D1227"/>
    <mergeCell ref="A1228:D1228"/>
    <mergeCell ref="A1229:D1229"/>
    <mergeCell ref="A1230:D1230"/>
    <mergeCell ref="A1231:B1231"/>
    <mergeCell ref="C1231:D1231"/>
    <mergeCell ref="A1223:B1223"/>
    <mergeCell ref="C1223:D1223"/>
    <mergeCell ref="A1224:B1224"/>
    <mergeCell ref="C1224:D1224"/>
    <mergeCell ref="A1225:B1225"/>
    <mergeCell ref="C1225:D1225"/>
    <mergeCell ref="C1218:D1218"/>
    <mergeCell ref="A1220:B1220"/>
    <mergeCell ref="C1220:D1220"/>
    <mergeCell ref="A1221:B1221"/>
    <mergeCell ref="C1221:D1221"/>
    <mergeCell ref="A1222:B1222"/>
    <mergeCell ref="C1222:D1222"/>
    <mergeCell ref="A1213:D1213"/>
    <mergeCell ref="A1214:D1214"/>
    <mergeCell ref="A1215:D1215"/>
    <mergeCell ref="A1216:D1216"/>
    <mergeCell ref="A1217:B1217"/>
    <mergeCell ref="C1217:D1217"/>
    <mergeCell ref="A1210:B1210"/>
    <mergeCell ref="C1210:D1210"/>
    <mergeCell ref="A1211:B1211"/>
    <mergeCell ref="C1211:D1211"/>
    <mergeCell ref="A1212:B1212"/>
    <mergeCell ref="C1212:D1212"/>
    <mergeCell ref="C1205:D1205"/>
    <mergeCell ref="A1207:B1207"/>
    <mergeCell ref="C1207:D1207"/>
    <mergeCell ref="A1208:B1208"/>
    <mergeCell ref="C1208:D1208"/>
    <mergeCell ref="A1209:B1209"/>
    <mergeCell ref="C1209:D1209"/>
    <mergeCell ref="A1199:D1199"/>
    <mergeCell ref="A1200:D1200"/>
    <mergeCell ref="A1201:D1201"/>
    <mergeCell ref="A1202:D1202"/>
    <mergeCell ref="A1203:D1203"/>
    <mergeCell ref="A1204:B1204"/>
    <mergeCell ref="C1204:D1204"/>
    <mergeCell ref="A1196:B1196"/>
    <mergeCell ref="C1196:D1196"/>
    <mergeCell ref="A1197:B1197"/>
    <mergeCell ref="C1197:D1197"/>
    <mergeCell ref="A1198:B1198"/>
    <mergeCell ref="C1198:D1198"/>
    <mergeCell ref="C1191:D1191"/>
    <mergeCell ref="A1193:B1193"/>
    <mergeCell ref="C1193:D1193"/>
    <mergeCell ref="A1194:B1194"/>
    <mergeCell ref="C1194:D1194"/>
    <mergeCell ref="A1195:B1195"/>
    <mergeCell ref="C1195:D1195"/>
    <mergeCell ref="A1186:D1186"/>
    <mergeCell ref="A1187:D1187"/>
    <mergeCell ref="A1188:D1188"/>
    <mergeCell ref="A1189:D1189"/>
    <mergeCell ref="A1190:B1190"/>
    <mergeCell ref="C1190:D1190"/>
    <mergeCell ref="A1183:B1183"/>
    <mergeCell ref="C1183:D1183"/>
    <mergeCell ref="A1184:B1184"/>
    <mergeCell ref="C1184:D1184"/>
    <mergeCell ref="A1185:B1185"/>
    <mergeCell ref="C1185:D1185"/>
    <mergeCell ref="C1178:D1178"/>
    <mergeCell ref="A1180:B1180"/>
    <mergeCell ref="C1180:D1180"/>
    <mergeCell ref="A1181:B1181"/>
    <mergeCell ref="C1181:D1181"/>
    <mergeCell ref="A1182:B1182"/>
    <mergeCell ref="C1182:D1182"/>
    <mergeCell ref="A1172:D1172"/>
    <mergeCell ref="A1173:D1173"/>
    <mergeCell ref="A1174:D1174"/>
    <mergeCell ref="A1175:D1175"/>
    <mergeCell ref="A1176:D1176"/>
    <mergeCell ref="A1177:B1177"/>
    <mergeCell ref="C1177:D1177"/>
    <mergeCell ref="A1169:B1169"/>
    <mergeCell ref="C1169:D1169"/>
    <mergeCell ref="A1170:B1170"/>
    <mergeCell ref="C1170:D1170"/>
    <mergeCell ref="A1171:B1171"/>
    <mergeCell ref="C1171:D1171"/>
    <mergeCell ref="C1164:D1164"/>
    <mergeCell ref="A1166:B1166"/>
    <mergeCell ref="C1166:D1166"/>
    <mergeCell ref="A1167:B1167"/>
    <mergeCell ref="C1167:D1167"/>
    <mergeCell ref="A1168:B1168"/>
    <mergeCell ref="C1168:D1168"/>
    <mergeCell ref="A1159:D1159"/>
    <mergeCell ref="A1160:D1160"/>
    <mergeCell ref="A1161:D1161"/>
    <mergeCell ref="A1162:D1162"/>
    <mergeCell ref="A1163:B1163"/>
    <mergeCell ref="C1163:D1163"/>
    <mergeCell ref="A1156:B1156"/>
    <mergeCell ref="C1156:D1156"/>
    <mergeCell ref="A1157:B1157"/>
    <mergeCell ref="C1157:D1157"/>
    <mergeCell ref="A1158:B1158"/>
    <mergeCell ref="C1158:D1158"/>
    <mergeCell ref="C1151:D1151"/>
    <mergeCell ref="A1153:B1153"/>
    <mergeCell ref="C1153:D1153"/>
    <mergeCell ref="A1154:B1154"/>
    <mergeCell ref="C1154:D1154"/>
    <mergeCell ref="A1155:B1155"/>
    <mergeCell ref="C1155:D1155"/>
    <mergeCell ref="A1145:D1145"/>
    <mergeCell ref="A1146:D1146"/>
    <mergeCell ref="A1147:D1147"/>
    <mergeCell ref="A1148:D1148"/>
    <mergeCell ref="A1149:D1149"/>
    <mergeCell ref="A1150:B1150"/>
    <mergeCell ref="C1150:D1150"/>
    <mergeCell ref="A1142:B1142"/>
    <mergeCell ref="C1142:D1142"/>
    <mergeCell ref="A1143:B1143"/>
    <mergeCell ref="C1143:D1143"/>
    <mergeCell ref="A1144:B1144"/>
    <mergeCell ref="C1144:D1144"/>
    <mergeCell ref="C1137:D1137"/>
    <mergeCell ref="A1139:B1139"/>
    <mergeCell ref="C1139:D1139"/>
    <mergeCell ref="A1140:B1140"/>
    <mergeCell ref="C1140:D1140"/>
    <mergeCell ref="A1141:B1141"/>
    <mergeCell ref="C1141:D1141"/>
    <mergeCell ref="A1132:D1132"/>
    <mergeCell ref="A1133:D1133"/>
    <mergeCell ref="A1134:D1134"/>
    <mergeCell ref="A1135:D1135"/>
    <mergeCell ref="A1136:B1136"/>
    <mergeCell ref="C1136:D1136"/>
    <mergeCell ref="A1129:B1129"/>
    <mergeCell ref="C1129:D1129"/>
    <mergeCell ref="A1130:B1130"/>
    <mergeCell ref="C1130:D1130"/>
    <mergeCell ref="A1131:B1131"/>
    <mergeCell ref="C1131:D1131"/>
    <mergeCell ref="C1124:D1124"/>
    <mergeCell ref="A1126:B1126"/>
    <mergeCell ref="C1126:D1126"/>
    <mergeCell ref="A1127:B1127"/>
    <mergeCell ref="C1127:D1127"/>
    <mergeCell ref="A1128:B1128"/>
    <mergeCell ref="C1128:D1128"/>
    <mergeCell ref="A1118:D1118"/>
    <mergeCell ref="A1119:D1119"/>
    <mergeCell ref="A1120:D1120"/>
    <mergeCell ref="A1121:D1121"/>
    <mergeCell ref="A1122:D1122"/>
    <mergeCell ref="A1123:B1123"/>
    <mergeCell ref="C1123:D1123"/>
    <mergeCell ref="A1115:B1115"/>
    <mergeCell ref="C1115:D1115"/>
    <mergeCell ref="A1116:B1116"/>
    <mergeCell ref="C1116:D1116"/>
    <mergeCell ref="A1117:B1117"/>
    <mergeCell ref="C1117:D1117"/>
    <mergeCell ref="C1110:D1110"/>
    <mergeCell ref="A1112:B1112"/>
    <mergeCell ref="C1112:D1112"/>
    <mergeCell ref="A1113:B1113"/>
    <mergeCell ref="C1113:D1113"/>
    <mergeCell ref="A1114:B1114"/>
    <mergeCell ref="C1114:D1114"/>
    <mergeCell ref="A1105:D1105"/>
    <mergeCell ref="A1106:D1106"/>
    <mergeCell ref="A1107:D1107"/>
    <mergeCell ref="A1108:D1108"/>
    <mergeCell ref="A1109:B1109"/>
    <mergeCell ref="C1109:D1109"/>
    <mergeCell ref="A1102:B1102"/>
    <mergeCell ref="C1102:D1102"/>
    <mergeCell ref="A1103:B1103"/>
    <mergeCell ref="C1103:D1103"/>
    <mergeCell ref="A1104:B1104"/>
    <mergeCell ref="C1104:D1104"/>
    <mergeCell ref="C1097:D1097"/>
    <mergeCell ref="A1099:B1099"/>
    <mergeCell ref="C1099:D1099"/>
    <mergeCell ref="A1100:B1100"/>
    <mergeCell ref="C1100:D1100"/>
    <mergeCell ref="A1101:B1101"/>
    <mergeCell ref="C1101:D1101"/>
    <mergeCell ref="A1091:D1091"/>
    <mergeCell ref="A1092:D1092"/>
    <mergeCell ref="A1093:D1093"/>
    <mergeCell ref="A1094:D1094"/>
    <mergeCell ref="A1095:D1095"/>
    <mergeCell ref="A1096:B1096"/>
    <mergeCell ref="C1096:D1096"/>
    <mergeCell ref="A1088:B1088"/>
    <mergeCell ref="C1088:D1088"/>
    <mergeCell ref="A1089:B1089"/>
    <mergeCell ref="C1089:D1089"/>
    <mergeCell ref="A1090:B1090"/>
    <mergeCell ref="C1090:D1090"/>
    <mergeCell ref="C1083:D1083"/>
    <mergeCell ref="A1085:B1085"/>
    <mergeCell ref="C1085:D1085"/>
    <mergeCell ref="A1086:B1086"/>
    <mergeCell ref="C1086:D1086"/>
    <mergeCell ref="A1087:B1087"/>
    <mergeCell ref="C1087:D1087"/>
    <mergeCell ref="A1078:D1078"/>
    <mergeCell ref="A1079:D1079"/>
    <mergeCell ref="A1080:D1080"/>
    <mergeCell ref="A1081:D1081"/>
    <mergeCell ref="A1082:B1082"/>
    <mergeCell ref="C1082:D1082"/>
    <mergeCell ref="A1075:B1075"/>
    <mergeCell ref="C1075:D1075"/>
    <mergeCell ref="A1076:B1076"/>
    <mergeCell ref="C1076:D1076"/>
    <mergeCell ref="A1077:B1077"/>
    <mergeCell ref="C1077:D1077"/>
    <mergeCell ref="C1070:D1070"/>
    <mergeCell ref="A1072:B1072"/>
    <mergeCell ref="C1072:D1072"/>
    <mergeCell ref="A1073:B1073"/>
    <mergeCell ref="C1073:D1073"/>
    <mergeCell ref="A1074:B1074"/>
    <mergeCell ref="C1074:D1074"/>
    <mergeCell ref="A1064:D1064"/>
    <mergeCell ref="A1065:D1065"/>
    <mergeCell ref="A1066:D1066"/>
    <mergeCell ref="A1067:D1067"/>
    <mergeCell ref="A1068:D1068"/>
    <mergeCell ref="A1069:B1069"/>
    <mergeCell ref="C1069:D1069"/>
    <mergeCell ref="A1061:B1061"/>
    <mergeCell ref="C1061:D1061"/>
    <mergeCell ref="A1062:B1062"/>
    <mergeCell ref="C1062:D1062"/>
    <mergeCell ref="A1063:B1063"/>
    <mergeCell ref="C1063:D1063"/>
    <mergeCell ref="C1056:D1056"/>
    <mergeCell ref="A1058:B1058"/>
    <mergeCell ref="C1058:D1058"/>
    <mergeCell ref="A1059:B1059"/>
    <mergeCell ref="C1059:D1059"/>
    <mergeCell ref="A1060:B1060"/>
    <mergeCell ref="C1060:D1060"/>
    <mergeCell ref="A1051:D1051"/>
    <mergeCell ref="A1052:D1052"/>
    <mergeCell ref="A1053:D1053"/>
    <mergeCell ref="A1054:D1054"/>
    <mergeCell ref="A1055:B1055"/>
    <mergeCell ref="C1055:D1055"/>
    <mergeCell ref="A1048:B1048"/>
    <mergeCell ref="C1048:D1048"/>
    <mergeCell ref="A1049:B1049"/>
    <mergeCell ref="C1049:D1049"/>
    <mergeCell ref="A1050:B1050"/>
    <mergeCell ref="C1050:D1050"/>
    <mergeCell ref="C1043:D1043"/>
    <mergeCell ref="A1045:B1045"/>
    <mergeCell ref="C1045:D1045"/>
    <mergeCell ref="A1046:B1046"/>
    <mergeCell ref="C1046:D1046"/>
    <mergeCell ref="A1047:B1047"/>
    <mergeCell ref="C1047:D1047"/>
    <mergeCell ref="A1037:D1037"/>
    <mergeCell ref="A1038:D1038"/>
    <mergeCell ref="A1039:D1039"/>
    <mergeCell ref="A1040:D1040"/>
    <mergeCell ref="A1041:D1041"/>
    <mergeCell ref="A1042:B1042"/>
    <mergeCell ref="C1042:D1042"/>
    <mergeCell ref="A1034:B1034"/>
    <mergeCell ref="C1034:D1034"/>
    <mergeCell ref="A1035:B1035"/>
    <mergeCell ref="C1035:D1035"/>
    <mergeCell ref="A1036:B1036"/>
    <mergeCell ref="C1036:D1036"/>
    <mergeCell ref="C1029:D1029"/>
    <mergeCell ref="A1031:B1031"/>
    <mergeCell ref="C1031:D1031"/>
    <mergeCell ref="A1032:B1032"/>
    <mergeCell ref="C1032:D1032"/>
    <mergeCell ref="A1033:B1033"/>
    <mergeCell ref="C1033:D1033"/>
    <mergeCell ref="A1024:D1024"/>
    <mergeCell ref="A1025:D1025"/>
    <mergeCell ref="A1026:D1026"/>
    <mergeCell ref="A1027:D1027"/>
    <mergeCell ref="A1028:B1028"/>
    <mergeCell ref="C1028:D1028"/>
    <mergeCell ref="A1021:B1021"/>
    <mergeCell ref="C1021:D1021"/>
    <mergeCell ref="A1022:B1022"/>
    <mergeCell ref="C1022:D1022"/>
    <mergeCell ref="A1023:B1023"/>
    <mergeCell ref="C1023:D1023"/>
    <mergeCell ref="C1016:D1016"/>
    <mergeCell ref="A1018:B1018"/>
    <mergeCell ref="C1018:D1018"/>
    <mergeCell ref="A1019:B1019"/>
    <mergeCell ref="C1019:D1019"/>
    <mergeCell ref="A1020:B1020"/>
    <mergeCell ref="C1020:D1020"/>
    <mergeCell ref="A1010:D1010"/>
    <mergeCell ref="A1011:D1011"/>
    <mergeCell ref="A1012:D1012"/>
    <mergeCell ref="A1013:D1013"/>
    <mergeCell ref="A1014:D1014"/>
    <mergeCell ref="A1015:B1015"/>
    <mergeCell ref="C1015:D1015"/>
    <mergeCell ref="A1007:B1007"/>
    <mergeCell ref="C1007:D1007"/>
    <mergeCell ref="A1008:B1008"/>
    <mergeCell ref="C1008:D1008"/>
    <mergeCell ref="A1009:B1009"/>
    <mergeCell ref="C1009:D1009"/>
    <mergeCell ref="C1002:D1002"/>
    <mergeCell ref="A1004:B1004"/>
    <mergeCell ref="C1004:D1004"/>
    <mergeCell ref="A1005:B1005"/>
    <mergeCell ref="C1005:D1005"/>
    <mergeCell ref="A1006:B1006"/>
    <mergeCell ref="C1006:D1006"/>
    <mergeCell ref="A997:D997"/>
    <mergeCell ref="A998:D998"/>
    <mergeCell ref="A999:D999"/>
    <mergeCell ref="A1000:D1000"/>
    <mergeCell ref="A1001:B1001"/>
    <mergeCell ref="C1001:D1001"/>
    <mergeCell ref="A994:B994"/>
    <mergeCell ref="C994:D994"/>
    <mergeCell ref="A995:B995"/>
    <mergeCell ref="C995:D995"/>
    <mergeCell ref="A996:B996"/>
    <mergeCell ref="C996:D996"/>
    <mergeCell ref="C989:D989"/>
    <mergeCell ref="A991:B991"/>
    <mergeCell ref="C991:D991"/>
    <mergeCell ref="A992:B992"/>
    <mergeCell ref="C992:D992"/>
    <mergeCell ref="A993:B993"/>
    <mergeCell ref="C993:D993"/>
    <mergeCell ref="A983:D983"/>
    <mergeCell ref="A984:D984"/>
    <mergeCell ref="A985:D985"/>
    <mergeCell ref="A986:D986"/>
    <mergeCell ref="A987:D987"/>
    <mergeCell ref="A988:B988"/>
    <mergeCell ref="C988:D988"/>
    <mergeCell ref="A980:B980"/>
    <mergeCell ref="C980:D980"/>
    <mergeCell ref="A981:B981"/>
    <mergeCell ref="C981:D981"/>
    <mergeCell ref="A982:B982"/>
    <mergeCell ref="C982:D982"/>
    <mergeCell ref="C975:D975"/>
    <mergeCell ref="A977:B977"/>
    <mergeCell ref="C977:D977"/>
    <mergeCell ref="A978:B978"/>
    <mergeCell ref="C978:D978"/>
    <mergeCell ref="A979:B979"/>
    <mergeCell ref="C979:D979"/>
    <mergeCell ref="A970:D970"/>
    <mergeCell ref="A971:D971"/>
    <mergeCell ref="A972:D972"/>
    <mergeCell ref="A973:D973"/>
    <mergeCell ref="A974:B974"/>
    <mergeCell ref="C974:D974"/>
    <mergeCell ref="A967:B967"/>
    <mergeCell ref="C967:D967"/>
    <mergeCell ref="A968:B968"/>
    <mergeCell ref="C968:D968"/>
    <mergeCell ref="A969:B969"/>
    <mergeCell ref="C969:D969"/>
    <mergeCell ref="C962:D962"/>
    <mergeCell ref="A964:B964"/>
    <mergeCell ref="C964:D964"/>
    <mergeCell ref="A965:B965"/>
    <mergeCell ref="C965:D965"/>
    <mergeCell ref="A966:B966"/>
    <mergeCell ref="C966:D966"/>
    <mergeCell ref="A956:D956"/>
    <mergeCell ref="A957:D957"/>
    <mergeCell ref="A958:D958"/>
    <mergeCell ref="A959:D959"/>
    <mergeCell ref="A960:D960"/>
    <mergeCell ref="A961:B961"/>
    <mergeCell ref="C961:D961"/>
    <mergeCell ref="A953:B953"/>
    <mergeCell ref="C953:D953"/>
    <mergeCell ref="A954:B954"/>
    <mergeCell ref="C954:D954"/>
    <mergeCell ref="A955:B955"/>
    <mergeCell ref="C955:D955"/>
    <mergeCell ref="C948:D948"/>
    <mergeCell ref="A950:B950"/>
    <mergeCell ref="C950:D950"/>
    <mergeCell ref="A951:B951"/>
    <mergeCell ref="C951:D951"/>
    <mergeCell ref="A952:B952"/>
    <mergeCell ref="C952:D952"/>
    <mergeCell ref="A943:D943"/>
    <mergeCell ref="A944:D944"/>
    <mergeCell ref="A945:D945"/>
    <mergeCell ref="A946:D946"/>
    <mergeCell ref="A947:B947"/>
    <mergeCell ref="C947:D947"/>
    <mergeCell ref="A940:B940"/>
    <mergeCell ref="C940:D940"/>
    <mergeCell ref="A941:B941"/>
    <mergeCell ref="C941:D941"/>
    <mergeCell ref="A942:B942"/>
    <mergeCell ref="C942:D942"/>
    <mergeCell ref="C935:D935"/>
    <mergeCell ref="A937:B937"/>
    <mergeCell ref="C937:D937"/>
    <mergeCell ref="A938:B938"/>
    <mergeCell ref="C938:D938"/>
    <mergeCell ref="A939:B939"/>
    <mergeCell ref="C939:D939"/>
    <mergeCell ref="A929:D929"/>
    <mergeCell ref="A930:D930"/>
    <mergeCell ref="A931:D931"/>
    <mergeCell ref="A932:D932"/>
    <mergeCell ref="A933:D933"/>
    <mergeCell ref="A934:B934"/>
    <mergeCell ref="C934:D934"/>
    <mergeCell ref="A926:B926"/>
    <mergeCell ref="C926:D926"/>
    <mergeCell ref="A927:B927"/>
    <mergeCell ref="C927:D927"/>
    <mergeCell ref="A928:B928"/>
    <mergeCell ref="C928:D928"/>
    <mergeCell ref="C921:D921"/>
    <mergeCell ref="A923:B923"/>
    <mergeCell ref="C923:D923"/>
    <mergeCell ref="A924:B924"/>
    <mergeCell ref="C924:D924"/>
    <mergeCell ref="A925:B925"/>
    <mergeCell ref="C925:D925"/>
    <mergeCell ref="A916:D916"/>
    <mergeCell ref="A917:D917"/>
    <mergeCell ref="A918:D918"/>
    <mergeCell ref="A919:D919"/>
    <mergeCell ref="A920:B920"/>
    <mergeCell ref="C920:D920"/>
    <mergeCell ref="A913:B913"/>
    <mergeCell ref="C913:D913"/>
    <mergeCell ref="A914:B914"/>
    <mergeCell ref="C914:D914"/>
    <mergeCell ref="A915:B915"/>
    <mergeCell ref="C915:D915"/>
    <mergeCell ref="C908:D908"/>
    <mergeCell ref="A910:B910"/>
    <mergeCell ref="C910:D910"/>
    <mergeCell ref="A911:B911"/>
    <mergeCell ref="C911:D911"/>
    <mergeCell ref="A912:B912"/>
    <mergeCell ref="C912:D912"/>
    <mergeCell ref="A902:D902"/>
    <mergeCell ref="A903:D903"/>
    <mergeCell ref="A904:D904"/>
    <mergeCell ref="A905:D905"/>
    <mergeCell ref="A906:D906"/>
    <mergeCell ref="A907:B907"/>
    <mergeCell ref="C907:D907"/>
    <mergeCell ref="A899:B899"/>
    <mergeCell ref="C899:D899"/>
    <mergeCell ref="A900:B900"/>
    <mergeCell ref="C900:D900"/>
    <mergeCell ref="A901:B901"/>
    <mergeCell ref="C901:D901"/>
    <mergeCell ref="C894:D894"/>
    <mergeCell ref="A896:B896"/>
    <mergeCell ref="C896:D896"/>
    <mergeCell ref="A897:B897"/>
    <mergeCell ref="C897:D897"/>
    <mergeCell ref="A898:B898"/>
    <mergeCell ref="C898:D898"/>
    <mergeCell ref="A889:D889"/>
    <mergeCell ref="A890:D890"/>
    <mergeCell ref="A891:D891"/>
    <mergeCell ref="A892:D892"/>
    <mergeCell ref="A893:B893"/>
    <mergeCell ref="C893:D893"/>
    <mergeCell ref="A886:B886"/>
    <mergeCell ref="C886:D886"/>
    <mergeCell ref="A887:B887"/>
    <mergeCell ref="C887:D887"/>
    <mergeCell ref="A888:B888"/>
    <mergeCell ref="C888:D888"/>
    <mergeCell ref="C881:D881"/>
    <mergeCell ref="A883:B883"/>
    <mergeCell ref="C883:D883"/>
    <mergeCell ref="A884:B884"/>
    <mergeCell ref="C884:D884"/>
    <mergeCell ref="A885:B885"/>
    <mergeCell ref="C885:D885"/>
    <mergeCell ref="A875:D875"/>
    <mergeCell ref="A876:D876"/>
    <mergeCell ref="A877:D877"/>
    <mergeCell ref="A878:D878"/>
    <mergeCell ref="A879:D879"/>
    <mergeCell ref="A880:B880"/>
    <mergeCell ref="C880:D880"/>
    <mergeCell ref="A872:B872"/>
    <mergeCell ref="C872:D872"/>
    <mergeCell ref="A873:B873"/>
    <mergeCell ref="C873:D873"/>
    <mergeCell ref="A874:B874"/>
    <mergeCell ref="C874:D874"/>
    <mergeCell ref="C867:D867"/>
    <mergeCell ref="A869:B869"/>
    <mergeCell ref="C869:D869"/>
    <mergeCell ref="A870:B870"/>
    <mergeCell ref="C870:D870"/>
    <mergeCell ref="A871:B871"/>
    <mergeCell ref="C871:D871"/>
    <mergeCell ref="A862:D862"/>
    <mergeCell ref="A863:D863"/>
    <mergeCell ref="A864:D864"/>
    <mergeCell ref="A865:D865"/>
    <mergeCell ref="A866:B866"/>
    <mergeCell ref="C866:D866"/>
    <mergeCell ref="A859:B859"/>
    <mergeCell ref="C859:D859"/>
    <mergeCell ref="A860:B860"/>
    <mergeCell ref="C860:D860"/>
    <mergeCell ref="A861:B861"/>
    <mergeCell ref="C861:D861"/>
    <mergeCell ref="A856:B856"/>
    <mergeCell ref="C856:D856"/>
    <mergeCell ref="A857:B857"/>
    <mergeCell ref="C857:D857"/>
    <mergeCell ref="A858:B858"/>
    <mergeCell ref="C858:D858"/>
    <mergeCell ref="A850:D850"/>
    <mergeCell ref="A851:D851"/>
    <mergeCell ref="A852:D852"/>
    <mergeCell ref="A853:B853"/>
    <mergeCell ref="C853:D853"/>
    <mergeCell ref="C854:D854"/>
    <mergeCell ref="A846:B846"/>
    <mergeCell ref="C846:D846"/>
    <mergeCell ref="A847:B847"/>
    <mergeCell ref="C847:D847"/>
    <mergeCell ref="A848:D848"/>
    <mergeCell ref="A849:D849"/>
    <mergeCell ref="A843:B843"/>
    <mergeCell ref="C843:D843"/>
    <mergeCell ref="A844:B844"/>
    <mergeCell ref="C844:D844"/>
    <mergeCell ref="A845:B845"/>
    <mergeCell ref="C845:D845"/>
    <mergeCell ref="A837:D837"/>
    <mergeCell ref="A838:D838"/>
    <mergeCell ref="A839:B839"/>
    <mergeCell ref="C839:D839"/>
    <mergeCell ref="C840:D840"/>
    <mergeCell ref="A842:B842"/>
    <mergeCell ref="C842:D842"/>
    <mergeCell ref="A833:B833"/>
    <mergeCell ref="C833:D833"/>
    <mergeCell ref="A834:B834"/>
    <mergeCell ref="C834:D834"/>
    <mergeCell ref="A835:D835"/>
    <mergeCell ref="A836:D836"/>
    <mergeCell ref="A830:B830"/>
    <mergeCell ref="C830:D830"/>
    <mergeCell ref="A831:B831"/>
    <mergeCell ref="C831:D831"/>
    <mergeCell ref="A832:B832"/>
    <mergeCell ref="C832:D832"/>
    <mergeCell ref="A825:D825"/>
    <mergeCell ref="A826:B826"/>
    <mergeCell ref="C826:D826"/>
    <mergeCell ref="C827:D827"/>
    <mergeCell ref="A829:B829"/>
    <mergeCell ref="C829:D829"/>
    <mergeCell ref="A820:B820"/>
    <mergeCell ref="C820:D820"/>
    <mergeCell ref="A821:D821"/>
    <mergeCell ref="A822:D822"/>
    <mergeCell ref="A823:D823"/>
    <mergeCell ref="A824:D824"/>
    <mergeCell ref="A817:B817"/>
    <mergeCell ref="C817:D817"/>
    <mergeCell ref="A818:B818"/>
    <mergeCell ref="C818:D818"/>
    <mergeCell ref="A819:B819"/>
    <mergeCell ref="C819:D819"/>
    <mergeCell ref="C813:D813"/>
    <mergeCell ref="B814:C814"/>
    <mergeCell ref="A815:B815"/>
    <mergeCell ref="C815:D815"/>
    <mergeCell ref="A816:B816"/>
    <mergeCell ref="C816:D816"/>
    <mergeCell ref="A808:D808"/>
    <mergeCell ref="A809:D809"/>
    <mergeCell ref="A810:D810"/>
    <mergeCell ref="A811:D811"/>
    <mergeCell ref="A812:B812"/>
    <mergeCell ref="C812:D812"/>
    <mergeCell ref="A805:B805"/>
    <mergeCell ref="C805:D805"/>
    <mergeCell ref="A806:B806"/>
    <mergeCell ref="C806:D806"/>
    <mergeCell ref="A807:B807"/>
    <mergeCell ref="C807:D807"/>
    <mergeCell ref="C800:D800"/>
    <mergeCell ref="A802:B802"/>
    <mergeCell ref="C802:D802"/>
    <mergeCell ref="A803:B803"/>
    <mergeCell ref="C803:D803"/>
    <mergeCell ref="A804:B804"/>
    <mergeCell ref="C804:D804"/>
    <mergeCell ref="A794:D794"/>
    <mergeCell ref="A795:D795"/>
    <mergeCell ref="A796:D796"/>
    <mergeCell ref="A797:D797"/>
    <mergeCell ref="A798:D798"/>
    <mergeCell ref="A799:B799"/>
    <mergeCell ref="C799:D799"/>
    <mergeCell ref="A791:B791"/>
    <mergeCell ref="C791:D791"/>
    <mergeCell ref="A792:B792"/>
    <mergeCell ref="C792:D792"/>
    <mergeCell ref="A793:B793"/>
    <mergeCell ref="C793:D793"/>
    <mergeCell ref="C786:D786"/>
    <mergeCell ref="A788:B788"/>
    <mergeCell ref="C788:D788"/>
    <mergeCell ref="A789:B789"/>
    <mergeCell ref="C789:D789"/>
    <mergeCell ref="A790:B790"/>
    <mergeCell ref="C790:D790"/>
    <mergeCell ref="A781:D781"/>
    <mergeCell ref="A782:D782"/>
    <mergeCell ref="A783:D783"/>
    <mergeCell ref="A784:D784"/>
    <mergeCell ref="A785:B785"/>
    <mergeCell ref="C785:D785"/>
    <mergeCell ref="A778:B778"/>
    <mergeCell ref="C778:D778"/>
    <mergeCell ref="A779:B779"/>
    <mergeCell ref="C779:D779"/>
    <mergeCell ref="A780:B780"/>
    <mergeCell ref="C780:D780"/>
    <mergeCell ref="C773:D773"/>
    <mergeCell ref="A775:B775"/>
    <mergeCell ref="C775:D775"/>
    <mergeCell ref="A776:B776"/>
    <mergeCell ref="C776:D776"/>
    <mergeCell ref="A777:B777"/>
    <mergeCell ref="C777:D777"/>
    <mergeCell ref="A767:D767"/>
    <mergeCell ref="A768:D768"/>
    <mergeCell ref="A769:D769"/>
    <mergeCell ref="A770:D770"/>
    <mergeCell ref="A771:D771"/>
    <mergeCell ref="A772:B772"/>
    <mergeCell ref="C772:D772"/>
    <mergeCell ref="A764:B764"/>
    <mergeCell ref="C764:D764"/>
    <mergeCell ref="A765:B765"/>
    <mergeCell ref="C765:D765"/>
    <mergeCell ref="A766:B766"/>
    <mergeCell ref="C766:D766"/>
    <mergeCell ref="C759:D759"/>
    <mergeCell ref="A761:B761"/>
    <mergeCell ref="C761:D761"/>
    <mergeCell ref="A762:B762"/>
    <mergeCell ref="C762:D762"/>
    <mergeCell ref="A763:B763"/>
    <mergeCell ref="C763:D763"/>
    <mergeCell ref="A754:D754"/>
    <mergeCell ref="A755:D755"/>
    <mergeCell ref="A756:D756"/>
    <mergeCell ref="A757:D757"/>
    <mergeCell ref="A758:B758"/>
    <mergeCell ref="C758:D758"/>
    <mergeCell ref="A751:B751"/>
    <mergeCell ref="C751:D751"/>
    <mergeCell ref="A752:B752"/>
    <mergeCell ref="C752:D752"/>
    <mergeCell ref="A753:B753"/>
    <mergeCell ref="C753:D753"/>
    <mergeCell ref="C746:D746"/>
    <mergeCell ref="A748:B748"/>
    <mergeCell ref="C748:D748"/>
    <mergeCell ref="A749:B749"/>
    <mergeCell ref="C749:D749"/>
    <mergeCell ref="A750:B750"/>
    <mergeCell ref="C750:D750"/>
    <mergeCell ref="A740:D740"/>
    <mergeCell ref="A741:D741"/>
    <mergeCell ref="A742:D742"/>
    <mergeCell ref="A743:D743"/>
    <mergeCell ref="A744:D744"/>
    <mergeCell ref="A745:B745"/>
    <mergeCell ref="C745:D745"/>
    <mergeCell ref="A737:B737"/>
    <mergeCell ref="C737:D737"/>
    <mergeCell ref="A738:B738"/>
    <mergeCell ref="C738:D738"/>
    <mergeCell ref="A739:B739"/>
    <mergeCell ref="C739:D739"/>
    <mergeCell ref="C732:D732"/>
    <mergeCell ref="A734:B734"/>
    <mergeCell ref="C734:D734"/>
    <mergeCell ref="A735:B735"/>
    <mergeCell ref="C735:D735"/>
    <mergeCell ref="A736:B736"/>
    <mergeCell ref="C736:D736"/>
    <mergeCell ref="A727:D727"/>
    <mergeCell ref="A728:D728"/>
    <mergeCell ref="A729:D729"/>
    <mergeCell ref="A730:D730"/>
    <mergeCell ref="A731:B731"/>
    <mergeCell ref="C731:D731"/>
    <mergeCell ref="A724:B724"/>
    <mergeCell ref="C724:D724"/>
    <mergeCell ref="A725:B725"/>
    <mergeCell ref="C725:D725"/>
    <mergeCell ref="A726:B726"/>
    <mergeCell ref="C726:D726"/>
    <mergeCell ref="C719:D719"/>
    <mergeCell ref="A721:B721"/>
    <mergeCell ref="C721:D721"/>
    <mergeCell ref="A722:B722"/>
    <mergeCell ref="C722:D722"/>
    <mergeCell ref="A723:B723"/>
    <mergeCell ref="C723:D723"/>
    <mergeCell ref="A713:D713"/>
    <mergeCell ref="A714:D714"/>
    <mergeCell ref="A715:D715"/>
    <mergeCell ref="A716:D716"/>
    <mergeCell ref="A717:D717"/>
    <mergeCell ref="A718:B718"/>
    <mergeCell ref="C718:D718"/>
    <mergeCell ref="A710:B710"/>
    <mergeCell ref="C710:D710"/>
    <mergeCell ref="A711:B711"/>
    <mergeCell ref="C711:D711"/>
    <mergeCell ref="A712:B712"/>
    <mergeCell ref="C712:D712"/>
    <mergeCell ref="C705:D705"/>
    <mergeCell ref="A707:B707"/>
    <mergeCell ref="C707:D707"/>
    <mergeCell ref="A708:B708"/>
    <mergeCell ref="C708:D708"/>
    <mergeCell ref="A709:B709"/>
    <mergeCell ref="C709:D709"/>
    <mergeCell ref="A700:D700"/>
    <mergeCell ref="A701:D701"/>
    <mergeCell ref="A702:D702"/>
    <mergeCell ref="A703:D703"/>
    <mergeCell ref="A704:B704"/>
    <mergeCell ref="C704:D704"/>
    <mergeCell ref="A697:B697"/>
    <mergeCell ref="C697:D697"/>
    <mergeCell ref="A698:B698"/>
    <mergeCell ref="C698:D698"/>
    <mergeCell ref="A699:B699"/>
    <mergeCell ref="C699:D699"/>
    <mergeCell ref="C692:D692"/>
    <mergeCell ref="A694:B694"/>
    <mergeCell ref="C694:D694"/>
    <mergeCell ref="A695:B695"/>
    <mergeCell ref="C695:D695"/>
    <mergeCell ref="A696:B696"/>
    <mergeCell ref="C696:D696"/>
    <mergeCell ref="A686:D686"/>
    <mergeCell ref="A687:D687"/>
    <mergeCell ref="A688:D688"/>
    <mergeCell ref="A689:D689"/>
    <mergeCell ref="A690:D690"/>
    <mergeCell ref="A691:B691"/>
    <mergeCell ref="C691:D691"/>
    <mergeCell ref="A683:B683"/>
    <mergeCell ref="C683:D683"/>
    <mergeCell ref="A684:B684"/>
    <mergeCell ref="C684:D684"/>
    <mergeCell ref="A685:B685"/>
    <mergeCell ref="C685:D685"/>
    <mergeCell ref="C678:D678"/>
    <mergeCell ref="A680:B680"/>
    <mergeCell ref="C680:D680"/>
    <mergeCell ref="A681:B681"/>
    <mergeCell ref="C681:D681"/>
    <mergeCell ref="A682:B682"/>
    <mergeCell ref="C682:D682"/>
    <mergeCell ref="A673:D673"/>
    <mergeCell ref="A674:D674"/>
    <mergeCell ref="A675:D675"/>
    <mergeCell ref="A676:D676"/>
    <mergeCell ref="A677:B677"/>
    <mergeCell ref="C677:D677"/>
    <mergeCell ref="A670:B670"/>
    <mergeCell ref="C670:D670"/>
    <mergeCell ref="A671:B671"/>
    <mergeCell ref="C671:D671"/>
    <mergeCell ref="A672:B672"/>
    <mergeCell ref="C672:D672"/>
    <mergeCell ref="C665:D665"/>
    <mergeCell ref="A667:B667"/>
    <mergeCell ref="C667:D667"/>
    <mergeCell ref="A668:B668"/>
    <mergeCell ref="C668:D668"/>
    <mergeCell ref="A669:B669"/>
    <mergeCell ref="C669:D669"/>
    <mergeCell ref="A659:D659"/>
    <mergeCell ref="A660:D660"/>
    <mergeCell ref="A661:D661"/>
    <mergeCell ref="A662:D662"/>
    <mergeCell ref="A663:D663"/>
    <mergeCell ref="A664:B664"/>
    <mergeCell ref="C664:D664"/>
    <mergeCell ref="A656:B656"/>
    <mergeCell ref="C656:D656"/>
    <mergeCell ref="A657:B657"/>
    <mergeCell ref="C657:D657"/>
    <mergeCell ref="A658:B658"/>
    <mergeCell ref="C658:D658"/>
    <mergeCell ref="C651:D651"/>
    <mergeCell ref="A653:B653"/>
    <mergeCell ref="C653:D653"/>
    <mergeCell ref="A654:B654"/>
    <mergeCell ref="C654:D654"/>
    <mergeCell ref="A655:B655"/>
    <mergeCell ref="C655:D655"/>
    <mergeCell ref="A646:D646"/>
    <mergeCell ref="A647:D647"/>
    <mergeCell ref="A648:D648"/>
    <mergeCell ref="A649:D649"/>
    <mergeCell ref="A650:B650"/>
    <mergeCell ref="C650:D650"/>
    <mergeCell ref="A643:B643"/>
    <mergeCell ref="C643:D643"/>
    <mergeCell ref="A644:B644"/>
    <mergeCell ref="C644:D644"/>
    <mergeCell ref="A645:B645"/>
    <mergeCell ref="C645:D645"/>
    <mergeCell ref="C638:D638"/>
    <mergeCell ref="A640:B640"/>
    <mergeCell ref="C640:D640"/>
    <mergeCell ref="A641:B641"/>
    <mergeCell ref="C641:D641"/>
    <mergeCell ref="A642:B642"/>
    <mergeCell ref="C642:D642"/>
    <mergeCell ref="A632:D632"/>
    <mergeCell ref="A633:D633"/>
    <mergeCell ref="A634:D634"/>
    <mergeCell ref="A635:D635"/>
    <mergeCell ref="A636:D636"/>
    <mergeCell ref="A637:B637"/>
    <mergeCell ref="C637:D637"/>
    <mergeCell ref="A629:B629"/>
    <mergeCell ref="C629:D629"/>
    <mergeCell ref="A630:B630"/>
    <mergeCell ref="C630:D630"/>
    <mergeCell ref="A631:B631"/>
    <mergeCell ref="C631:D631"/>
    <mergeCell ref="C624:D624"/>
    <mergeCell ref="A626:B626"/>
    <mergeCell ref="C626:D626"/>
    <mergeCell ref="A627:B627"/>
    <mergeCell ref="C627:D627"/>
    <mergeCell ref="A628:B628"/>
    <mergeCell ref="C628:D628"/>
    <mergeCell ref="A619:D619"/>
    <mergeCell ref="A620:D620"/>
    <mergeCell ref="A621:D621"/>
    <mergeCell ref="A622:D622"/>
    <mergeCell ref="A623:B623"/>
    <mergeCell ref="C623:D623"/>
    <mergeCell ref="A616:B616"/>
    <mergeCell ref="C616:D616"/>
    <mergeCell ref="A617:B617"/>
    <mergeCell ref="C617:D617"/>
    <mergeCell ref="A618:B618"/>
    <mergeCell ref="C618:D618"/>
    <mergeCell ref="C611:D611"/>
    <mergeCell ref="A613:B613"/>
    <mergeCell ref="C613:D613"/>
    <mergeCell ref="A614:B614"/>
    <mergeCell ref="C614:D614"/>
    <mergeCell ref="A615:B615"/>
    <mergeCell ref="C615:D615"/>
    <mergeCell ref="A605:D605"/>
    <mergeCell ref="A606:D606"/>
    <mergeCell ref="A607:D607"/>
    <mergeCell ref="A608:D608"/>
    <mergeCell ref="A609:D609"/>
    <mergeCell ref="A610:B610"/>
    <mergeCell ref="C610:D610"/>
    <mergeCell ref="A602:B602"/>
    <mergeCell ref="C602:D602"/>
    <mergeCell ref="A603:B603"/>
    <mergeCell ref="C603:D603"/>
    <mergeCell ref="A604:B604"/>
    <mergeCell ref="C604:D604"/>
    <mergeCell ref="C597:D597"/>
    <mergeCell ref="A599:B599"/>
    <mergeCell ref="C599:D599"/>
    <mergeCell ref="A600:B600"/>
    <mergeCell ref="C600:D600"/>
    <mergeCell ref="A601:B601"/>
    <mergeCell ref="C601:D601"/>
    <mergeCell ref="A592:D592"/>
    <mergeCell ref="A593:D593"/>
    <mergeCell ref="A594:D594"/>
    <mergeCell ref="A595:D595"/>
    <mergeCell ref="A596:B596"/>
    <mergeCell ref="C596:D596"/>
    <mergeCell ref="A589:B589"/>
    <mergeCell ref="C589:D589"/>
    <mergeCell ref="A590:B590"/>
    <mergeCell ref="C590:D590"/>
    <mergeCell ref="A591:B591"/>
    <mergeCell ref="C591:D591"/>
    <mergeCell ref="C584:D584"/>
    <mergeCell ref="A586:B586"/>
    <mergeCell ref="C586:D586"/>
    <mergeCell ref="A587:B587"/>
    <mergeCell ref="C587:D587"/>
    <mergeCell ref="A588:B588"/>
    <mergeCell ref="C588:D588"/>
    <mergeCell ref="A578:D578"/>
    <mergeCell ref="A579:D579"/>
    <mergeCell ref="A580:D580"/>
    <mergeCell ref="A581:D581"/>
    <mergeCell ref="A582:D582"/>
    <mergeCell ref="A583:B583"/>
    <mergeCell ref="C583:D583"/>
    <mergeCell ref="A575:B575"/>
    <mergeCell ref="C575:D575"/>
    <mergeCell ref="A576:B576"/>
    <mergeCell ref="C576:D576"/>
    <mergeCell ref="A577:B577"/>
    <mergeCell ref="C577:D577"/>
    <mergeCell ref="C570:D570"/>
    <mergeCell ref="A572:B572"/>
    <mergeCell ref="C572:D572"/>
    <mergeCell ref="A573:B573"/>
    <mergeCell ref="C573:D573"/>
    <mergeCell ref="A574:B574"/>
    <mergeCell ref="C574:D574"/>
    <mergeCell ref="A565:D565"/>
    <mergeCell ref="A566:D566"/>
    <mergeCell ref="A567:D567"/>
    <mergeCell ref="A568:D568"/>
    <mergeCell ref="A569:B569"/>
    <mergeCell ref="C569:D569"/>
    <mergeCell ref="A562:B562"/>
    <mergeCell ref="C562:D562"/>
    <mergeCell ref="A563:B563"/>
    <mergeCell ref="C563:D563"/>
    <mergeCell ref="A564:B564"/>
    <mergeCell ref="C564:D564"/>
    <mergeCell ref="C557:D557"/>
    <mergeCell ref="A559:B559"/>
    <mergeCell ref="C559:D559"/>
    <mergeCell ref="A560:B560"/>
    <mergeCell ref="C560:D560"/>
    <mergeCell ref="A561:B561"/>
    <mergeCell ref="C561:D561"/>
    <mergeCell ref="A551:D551"/>
    <mergeCell ref="A552:D552"/>
    <mergeCell ref="A553:D553"/>
    <mergeCell ref="A554:D554"/>
    <mergeCell ref="A555:D555"/>
    <mergeCell ref="A556:B556"/>
    <mergeCell ref="C556:D556"/>
    <mergeCell ref="A548:B548"/>
    <mergeCell ref="C548:D548"/>
    <mergeCell ref="A549:B549"/>
    <mergeCell ref="C549:D549"/>
    <mergeCell ref="A550:B550"/>
    <mergeCell ref="C550:D550"/>
    <mergeCell ref="C543:D543"/>
    <mergeCell ref="A545:B545"/>
    <mergeCell ref="C545:D545"/>
    <mergeCell ref="A546:B546"/>
    <mergeCell ref="C546:D546"/>
    <mergeCell ref="A547:B547"/>
    <mergeCell ref="C547:D547"/>
    <mergeCell ref="A538:D538"/>
    <mergeCell ref="A539:D539"/>
    <mergeCell ref="A540:D540"/>
    <mergeCell ref="A541:D541"/>
    <mergeCell ref="A542:B542"/>
    <mergeCell ref="C542:D542"/>
    <mergeCell ref="A535:B535"/>
    <mergeCell ref="C535:D535"/>
    <mergeCell ref="A536:B536"/>
    <mergeCell ref="C536:D536"/>
    <mergeCell ref="A537:B537"/>
    <mergeCell ref="C537:D537"/>
    <mergeCell ref="C530:D530"/>
    <mergeCell ref="A532:B532"/>
    <mergeCell ref="C532:D532"/>
    <mergeCell ref="A533:B533"/>
    <mergeCell ref="C533:D533"/>
    <mergeCell ref="A534:B534"/>
    <mergeCell ref="C534:D534"/>
    <mergeCell ref="A524:D524"/>
    <mergeCell ref="A525:D525"/>
    <mergeCell ref="A526:D526"/>
    <mergeCell ref="A527:D527"/>
    <mergeCell ref="A528:D528"/>
    <mergeCell ref="A529:B529"/>
    <mergeCell ref="C529:D529"/>
    <mergeCell ref="A521:B521"/>
    <mergeCell ref="C521:D521"/>
    <mergeCell ref="A522:B522"/>
    <mergeCell ref="C522:D522"/>
    <mergeCell ref="A523:B523"/>
    <mergeCell ref="C523:D523"/>
    <mergeCell ref="C516:D516"/>
    <mergeCell ref="A518:B518"/>
    <mergeCell ref="C518:D518"/>
    <mergeCell ref="A519:B519"/>
    <mergeCell ref="C519:D519"/>
    <mergeCell ref="A520:B520"/>
    <mergeCell ref="C520:D520"/>
    <mergeCell ref="A511:D511"/>
    <mergeCell ref="A512:D512"/>
    <mergeCell ref="A513:D513"/>
    <mergeCell ref="A514:D514"/>
    <mergeCell ref="A515:B515"/>
    <mergeCell ref="C515:D515"/>
    <mergeCell ref="A508:B508"/>
    <mergeCell ref="C508:D508"/>
    <mergeCell ref="A509:B509"/>
    <mergeCell ref="C509:D509"/>
    <mergeCell ref="A510:B510"/>
    <mergeCell ref="C510:D510"/>
    <mergeCell ref="C503:D503"/>
    <mergeCell ref="A505:B505"/>
    <mergeCell ref="C505:D505"/>
    <mergeCell ref="A506:B506"/>
    <mergeCell ref="C506:D506"/>
    <mergeCell ref="A507:B507"/>
    <mergeCell ref="C507:D507"/>
    <mergeCell ref="A497:D497"/>
    <mergeCell ref="A498:D498"/>
    <mergeCell ref="A499:D499"/>
    <mergeCell ref="A500:D500"/>
    <mergeCell ref="A501:D501"/>
    <mergeCell ref="A502:B502"/>
    <mergeCell ref="C502:D502"/>
    <mergeCell ref="A494:B494"/>
    <mergeCell ref="C494:D494"/>
    <mergeCell ref="A495:B495"/>
    <mergeCell ref="C495:D495"/>
    <mergeCell ref="A496:B496"/>
    <mergeCell ref="C496:D496"/>
    <mergeCell ref="C489:D489"/>
    <mergeCell ref="A491:B491"/>
    <mergeCell ref="C491:D491"/>
    <mergeCell ref="A492:B492"/>
    <mergeCell ref="C492:D492"/>
    <mergeCell ref="A493:B493"/>
    <mergeCell ref="C493:D493"/>
    <mergeCell ref="A484:D484"/>
    <mergeCell ref="A485:D485"/>
    <mergeCell ref="A486:D486"/>
    <mergeCell ref="A487:D487"/>
    <mergeCell ref="A488:B488"/>
    <mergeCell ref="C488:D488"/>
    <mergeCell ref="A481:B481"/>
    <mergeCell ref="C481:D481"/>
    <mergeCell ref="A482:B482"/>
    <mergeCell ref="C482:D482"/>
    <mergeCell ref="A483:B483"/>
    <mergeCell ref="C483:D483"/>
    <mergeCell ref="C476:D476"/>
    <mergeCell ref="A478:B478"/>
    <mergeCell ref="C478:D478"/>
    <mergeCell ref="A479:B479"/>
    <mergeCell ref="C479:D479"/>
    <mergeCell ref="A480:B480"/>
    <mergeCell ref="C480:D480"/>
    <mergeCell ref="A470:D470"/>
    <mergeCell ref="A471:D471"/>
    <mergeCell ref="A472:D472"/>
    <mergeCell ref="A473:D473"/>
    <mergeCell ref="A474:D474"/>
    <mergeCell ref="A475:B475"/>
    <mergeCell ref="C475:D475"/>
    <mergeCell ref="A467:B467"/>
    <mergeCell ref="C467:D467"/>
    <mergeCell ref="A468:B468"/>
    <mergeCell ref="C468:D468"/>
    <mergeCell ref="A469:B469"/>
    <mergeCell ref="C469:D469"/>
    <mergeCell ref="C462:D462"/>
    <mergeCell ref="A464:B464"/>
    <mergeCell ref="C464:D464"/>
    <mergeCell ref="A465:B465"/>
    <mergeCell ref="C465:D465"/>
    <mergeCell ref="A466:B466"/>
    <mergeCell ref="C466:D466"/>
    <mergeCell ref="A457:D457"/>
    <mergeCell ref="A458:D458"/>
    <mergeCell ref="A459:D459"/>
    <mergeCell ref="A460:D460"/>
    <mergeCell ref="A461:B461"/>
    <mergeCell ref="C461:D461"/>
    <mergeCell ref="A454:B454"/>
    <mergeCell ref="C454:D454"/>
    <mergeCell ref="A455:B455"/>
    <mergeCell ref="C455:D455"/>
    <mergeCell ref="A456:B456"/>
    <mergeCell ref="C456:D456"/>
    <mergeCell ref="C449:D449"/>
    <mergeCell ref="A451:B451"/>
    <mergeCell ref="C451:D451"/>
    <mergeCell ref="A452:B452"/>
    <mergeCell ref="C452:D452"/>
    <mergeCell ref="A453:B453"/>
    <mergeCell ref="C453:D453"/>
    <mergeCell ref="A443:D443"/>
    <mergeCell ref="A444:D444"/>
    <mergeCell ref="A445:D445"/>
    <mergeCell ref="A446:D446"/>
    <mergeCell ref="A447:D447"/>
    <mergeCell ref="A448:B448"/>
    <mergeCell ref="C448:D448"/>
    <mergeCell ref="A440:B440"/>
    <mergeCell ref="C440:D440"/>
    <mergeCell ref="A441:B441"/>
    <mergeCell ref="C441:D441"/>
    <mergeCell ref="A442:B442"/>
    <mergeCell ref="C442:D442"/>
    <mergeCell ref="C435:D435"/>
    <mergeCell ref="A437:B437"/>
    <mergeCell ref="C437:D437"/>
    <mergeCell ref="A438:B438"/>
    <mergeCell ref="C438:D438"/>
    <mergeCell ref="A439:B439"/>
    <mergeCell ref="C439:D439"/>
    <mergeCell ref="A430:D430"/>
    <mergeCell ref="A431:D431"/>
    <mergeCell ref="A432:D432"/>
    <mergeCell ref="A433:D433"/>
    <mergeCell ref="A434:B434"/>
    <mergeCell ref="C434:D434"/>
    <mergeCell ref="A427:B427"/>
    <mergeCell ref="C427:D427"/>
    <mergeCell ref="A428:B428"/>
    <mergeCell ref="C428:D428"/>
    <mergeCell ref="A429:B429"/>
    <mergeCell ref="C429:D429"/>
    <mergeCell ref="C422:D422"/>
    <mergeCell ref="A424:B424"/>
    <mergeCell ref="C424:D424"/>
    <mergeCell ref="A425:B425"/>
    <mergeCell ref="C425:D425"/>
    <mergeCell ref="A426:B426"/>
    <mergeCell ref="C426:D426"/>
    <mergeCell ref="A416:D416"/>
    <mergeCell ref="A417:D417"/>
    <mergeCell ref="A418:D418"/>
    <mergeCell ref="A419:D419"/>
    <mergeCell ref="A420:D420"/>
    <mergeCell ref="A421:B421"/>
    <mergeCell ref="C421:D421"/>
    <mergeCell ref="A413:B413"/>
    <mergeCell ref="C413:D413"/>
    <mergeCell ref="A414:B414"/>
    <mergeCell ref="C414:D414"/>
    <mergeCell ref="A415:B415"/>
    <mergeCell ref="C415:D415"/>
    <mergeCell ref="C408:D408"/>
    <mergeCell ref="A410:B410"/>
    <mergeCell ref="C410:D410"/>
    <mergeCell ref="A411:B411"/>
    <mergeCell ref="C411:D411"/>
    <mergeCell ref="A412:B412"/>
    <mergeCell ref="C412:D412"/>
    <mergeCell ref="A403:D403"/>
    <mergeCell ref="A404:D404"/>
    <mergeCell ref="A405:D405"/>
    <mergeCell ref="A406:D406"/>
    <mergeCell ref="A407:B407"/>
    <mergeCell ref="C407:D407"/>
    <mergeCell ref="A400:B400"/>
    <mergeCell ref="C400:D400"/>
    <mergeCell ref="A401:B401"/>
    <mergeCell ref="C401:D401"/>
    <mergeCell ref="A402:B402"/>
    <mergeCell ref="C402:D402"/>
    <mergeCell ref="C395:D395"/>
    <mergeCell ref="A397:B397"/>
    <mergeCell ref="C397:D397"/>
    <mergeCell ref="A398:B398"/>
    <mergeCell ref="C398:D398"/>
    <mergeCell ref="A399:B399"/>
    <mergeCell ref="C399:D399"/>
    <mergeCell ref="A389:D389"/>
    <mergeCell ref="A390:D390"/>
    <mergeCell ref="A391:D391"/>
    <mergeCell ref="A392:D392"/>
    <mergeCell ref="A393:D393"/>
    <mergeCell ref="A394:B394"/>
    <mergeCell ref="C394:D394"/>
    <mergeCell ref="A386:B386"/>
    <mergeCell ref="C386:D386"/>
    <mergeCell ref="A387:B387"/>
    <mergeCell ref="C387:D387"/>
    <mergeCell ref="A388:B388"/>
    <mergeCell ref="C388:D388"/>
    <mergeCell ref="C381:D381"/>
    <mergeCell ref="A383:B383"/>
    <mergeCell ref="C383:D383"/>
    <mergeCell ref="A384:B384"/>
    <mergeCell ref="C384:D384"/>
    <mergeCell ref="A385:B385"/>
    <mergeCell ref="C385:D385"/>
    <mergeCell ref="A376:D376"/>
    <mergeCell ref="A377:D377"/>
    <mergeCell ref="A378:D378"/>
    <mergeCell ref="A379:D379"/>
    <mergeCell ref="A380:B380"/>
    <mergeCell ref="C380:D380"/>
    <mergeCell ref="A373:B373"/>
    <mergeCell ref="C373:D373"/>
    <mergeCell ref="A374:B374"/>
    <mergeCell ref="C374:D374"/>
    <mergeCell ref="A375:B375"/>
    <mergeCell ref="C375:D375"/>
    <mergeCell ref="C368:D368"/>
    <mergeCell ref="A370:B370"/>
    <mergeCell ref="C370:D370"/>
    <mergeCell ref="A371:B371"/>
    <mergeCell ref="C371:D371"/>
    <mergeCell ref="A372:B372"/>
    <mergeCell ref="C372:D372"/>
    <mergeCell ref="A362:D362"/>
    <mergeCell ref="A363:D363"/>
    <mergeCell ref="A364:D364"/>
    <mergeCell ref="A365:D365"/>
    <mergeCell ref="A366:D366"/>
    <mergeCell ref="A367:B367"/>
    <mergeCell ref="C367:D367"/>
    <mergeCell ref="A359:B359"/>
    <mergeCell ref="C359:D359"/>
    <mergeCell ref="A360:B360"/>
    <mergeCell ref="C360:D360"/>
    <mergeCell ref="A361:B361"/>
    <mergeCell ref="C361:D361"/>
    <mergeCell ref="C354:D354"/>
    <mergeCell ref="A356:B356"/>
    <mergeCell ref="C356:D356"/>
    <mergeCell ref="A357:B357"/>
    <mergeCell ref="C357:D357"/>
    <mergeCell ref="A358:B358"/>
    <mergeCell ref="C358:D358"/>
    <mergeCell ref="A349:D349"/>
    <mergeCell ref="A350:D350"/>
    <mergeCell ref="A351:D351"/>
    <mergeCell ref="A352:D352"/>
    <mergeCell ref="A353:B353"/>
    <mergeCell ref="C353:D353"/>
    <mergeCell ref="A346:B346"/>
    <mergeCell ref="C346:D346"/>
    <mergeCell ref="A347:B347"/>
    <mergeCell ref="C347:D347"/>
    <mergeCell ref="A348:B348"/>
    <mergeCell ref="C348:D348"/>
    <mergeCell ref="C341:D341"/>
    <mergeCell ref="A343:B343"/>
    <mergeCell ref="C343:D343"/>
    <mergeCell ref="A344:B344"/>
    <mergeCell ref="C344:D344"/>
    <mergeCell ref="A345:B345"/>
    <mergeCell ref="C345:D345"/>
    <mergeCell ref="A335:D335"/>
    <mergeCell ref="A336:D336"/>
    <mergeCell ref="A337:D337"/>
    <mergeCell ref="A338:D338"/>
    <mergeCell ref="A339:D339"/>
    <mergeCell ref="A340:B340"/>
    <mergeCell ref="C340:D340"/>
    <mergeCell ref="A332:B332"/>
    <mergeCell ref="C332:D332"/>
    <mergeCell ref="A333:B333"/>
    <mergeCell ref="C333:D333"/>
    <mergeCell ref="A334:B334"/>
    <mergeCell ref="C334:D334"/>
    <mergeCell ref="C327:D327"/>
    <mergeCell ref="A329:B329"/>
    <mergeCell ref="C329:D329"/>
    <mergeCell ref="A330:B330"/>
    <mergeCell ref="C330:D330"/>
    <mergeCell ref="A331:B331"/>
    <mergeCell ref="C331:D331"/>
    <mergeCell ref="A322:D322"/>
    <mergeCell ref="A323:D323"/>
    <mergeCell ref="A324:D324"/>
    <mergeCell ref="A325:D325"/>
    <mergeCell ref="A326:B326"/>
    <mergeCell ref="C326:D326"/>
    <mergeCell ref="A319:B319"/>
    <mergeCell ref="C319:D319"/>
    <mergeCell ref="A320:B320"/>
    <mergeCell ref="C320:D320"/>
    <mergeCell ref="A321:B321"/>
    <mergeCell ref="C321:D321"/>
    <mergeCell ref="C314:D314"/>
    <mergeCell ref="A316:B316"/>
    <mergeCell ref="C316:D316"/>
    <mergeCell ref="A317:B317"/>
    <mergeCell ref="C317:D317"/>
    <mergeCell ref="A318:B318"/>
    <mergeCell ref="C318:D318"/>
    <mergeCell ref="A308:D308"/>
    <mergeCell ref="A309:D309"/>
    <mergeCell ref="A310:D310"/>
    <mergeCell ref="A311:D311"/>
    <mergeCell ref="A312:D312"/>
    <mergeCell ref="A313:B313"/>
    <mergeCell ref="C313:D313"/>
    <mergeCell ref="A305:B305"/>
    <mergeCell ref="C305:D305"/>
    <mergeCell ref="A306:B306"/>
    <mergeCell ref="C306:D306"/>
    <mergeCell ref="A307:B307"/>
    <mergeCell ref="C307:D307"/>
    <mergeCell ref="C300:D300"/>
    <mergeCell ref="A302:B302"/>
    <mergeCell ref="C302:D302"/>
    <mergeCell ref="A303:B303"/>
    <mergeCell ref="C303:D303"/>
    <mergeCell ref="A304:B304"/>
    <mergeCell ref="C304:D304"/>
    <mergeCell ref="A295:D295"/>
    <mergeCell ref="A296:D296"/>
    <mergeCell ref="A297:D297"/>
    <mergeCell ref="A298:D298"/>
    <mergeCell ref="A299:B299"/>
    <mergeCell ref="C299:D299"/>
    <mergeCell ref="A292:B292"/>
    <mergeCell ref="C292:D292"/>
    <mergeCell ref="A293:B293"/>
    <mergeCell ref="C293:D293"/>
    <mergeCell ref="A294:B294"/>
    <mergeCell ref="C294:D294"/>
    <mergeCell ref="C287:D287"/>
    <mergeCell ref="A289:B289"/>
    <mergeCell ref="C289:D289"/>
    <mergeCell ref="A290:B290"/>
    <mergeCell ref="C290:D290"/>
    <mergeCell ref="A291:B291"/>
    <mergeCell ref="C291:D291"/>
    <mergeCell ref="A281:D281"/>
    <mergeCell ref="A282:D282"/>
    <mergeCell ref="A283:D283"/>
    <mergeCell ref="A284:D284"/>
    <mergeCell ref="A285:D285"/>
    <mergeCell ref="A286:B286"/>
    <mergeCell ref="C286:D286"/>
    <mergeCell ref="A278:B278"/>
    <mergeCell ref="C278:D278"/>
    <mergeCell ref="A279:B279"/>
    <mergeCell ref="C279:D279"/>
    <mergeCell ref="A280:B280"/>
    <mergeCell ref="C280:D280"/>
    <mergeCell ref="C273:D273"/>
    <mergeCell ref="A275:B275"/>
    <mergeCell ref="C275:D275"/>
    <mergeCell ref="A276:B276"/>
    <mergeCell ref="C276:D276"/>
    <mergeCell ref="A277:B277"/>
    <mergeCell ref="C277:D277"/>
    <mergeCell ref="A268:D268"/>
    <mergeCell ref="A269:D269"/>
    <mergeCell ref="A270:D270"/>
    <mergeCell ref="A271:D271"/>
    <mergeCell ref="A272:B272"/>
    <mergeCell ref="C272:D272"/>
    <mergeCell ref="A265:B265"/>
    <mergeCell ref="C265:D265"/>
    <mergeCell ref="A266:B266"/>
    <mergeCell ref="C266:D266"/>
    <mergeCell ref="A267:B267"/>
    <mergeCell ref="C267:D267"/>
    <mergeCell ref="C260:D260"/>
    <mergeCell ref="A262:B262"/>
    <mergeCell ref="C262:D262"/>
    <mergeCell ref="A263:B263"/>
    <mergeCell ref="C263:D263"/>
    <mergeCell ref="A264:B264"/>
    <mergeCell ref="C264:D264"/>
    <mergeCell ref="A254:D254"/>
    <mergeCell ref="A255:D255"/>
    <mergeCell ref="A256:D256"/>
    <mergeCell ref="A257:D257"/>
    <mergeCell ref="A258:D258"/>
    <mergeCell ref="A259:B259"/>
    <mergeCell ref="C259:D259"/>
    <mergeCell ref="A251:B251"/>
    <mergeCell ref="C251:D251"/>
    <mergeCell ref="A252:B252"/>
    <mergeCell ref="C252:D252"/>
    <mergeCell ref="A253:B253"/>
    <mergeCell ref="C253:D253"/>
    <mergeCell ref="C246:D246"/>
    <mergeCell ref="A248:B248"/>
    <mergeCell ref="C248:D248"/>
    <mergeCell ref="A249:B249"/>
    <mergeCell ref="C249:D249"/>
    <mergeCell ref="A250:B250"/>
    <mergeCell ref="C250:D250"/>
    <mergeCell ref="A241:D241"/>
    <mergeCell ref="A242:D242"/>
    <mergeCell ref="A243:D243"/>
    <mergeCell ref="A244:D244"/>
    <mergeCell ref="A245:B245"/>
    <mergeCell ref="C245:D245"/>
    <mergeCell ref="A238:B238"/>
    <mergeCell ref="C238:D238"/>
    <mergeCell ref="A239:B239"/>
    <mergeCell ref="C239:D239"/>
    <mergeCell ref="A240:B240"/>
    <mergeCell ref="C240:D240"/>
    <mergeCell ref="C233:D233"/>
    <mergeCell ref="A235:B235"/>
    <mergeCell ref="C235:D235"/>
    <mergeCell ref="A236:B236"/>
    <mergeCell ref="C236:D236"/>
    <mergeCell ref="A237:B237"/>
    <mergeCell ref="C237:D237"/>
    <mergeCell ref="A227:D227"/>
    <mergeCell ref="A228:D228"/>
    <mergeCell ref="A229:D229"/>
    <mergeCell ref="A230:D230"/>
    <mergeCell ref="A231:D231"/>
    <mergeCell ref="A232:B232"/>
    <mergeCell ref="C232:D232"/>
    <mergeCell ref="A224:B224"/>
    <mergeCell ref="C224:D224"/>
    <mergeCell ref="A225:B225"/>
    <mergeCell ref="C225:D225"/>
    <mergeCell ref="A226:B226"/>
    <mergeCell ref="C226:D226"/>
    <mergeCell ref="C219:D219"/>
    <mergeCell ref="A221:B221"/>
    <mergeCell ref="C221:D221"/>
    <mergeCell ref="A222:B222"/>
    <mergeCell ref="C222:D222"/>
    <mergeCell ref="A223:B223"/>
    <mergeCell ref="C223:D223"/>
    <mergeCell ref="A214:D214"/>
    <mergeCell ref="A215:D215"/>
    <mergeCell ref="A216:D216"/>
    <mergeCell ref="A217:D217"/>
    <mergeCell ref="A218:B218"/>
    <mergeCell ref="C218:D218"/>
    <mergeCell ref="A211:B211"/>
    <mergeCell ref="C211:D211"/>
    <mergeCell ref="A212:B212"/>
    <mergeCell ref="C212:D212"/>
    <mergeCell ref="A213:B213"/>
    <mergeCell ref="C213:D213"/>
    <mergeCell ref="C206:D206"/>
    <mergeCell ref="A208:B208"/>
    <mergeCell ref="C208:D208"/>
    <mergeCell ref="A209:B209"/>
    <mergeCell ref="C209:D209"/>
    <mergeCell ref="A210:B210"/>
    <mergeCell ref="C210:D210"/>
    <mergeCell ref="A200:D200"/>
    <mergeCell ref="A201:D201"/>
    <mergeCell ref="A202:D202"/>
    <mergeCell ref="A203:D203"/>
    <mergeCell ref="A204:D204"/>
    <mergeCell ref="A205:B205"/>
    <mergeCell ref="C205:D205"/>
    <mergeCell ref="A197:B197"/>
    <mergeCell ref="C197:D197"/>
    <mergeCell ref="A198:B198"/>
    <mergeCell ref="C198:D198"/>
    <mergeCell ref="A199:B199"/>
    <mergeCell ref="C199:D199"/>
    <mergeCell ref="C192:D192"/>
    <mergeCell ref="A194:B194"/>
    <mergeCell ref="C194:D194"/>
    <mergeCell ref="A195:B195"/>
    <mergeCell ref="C195:D195"/>
    <mergeCell ref="A196:B196"/>
    <mergeCell ref="C196:D196"/>
    <mergeCell ref="A187:D187"/>
    <mergeCell ref="A188:D188"/>
    <mergeCell ref="A189:D189"/>
    <mergeCell ref="A190:D190"/>
    <mergeCell ref="A191:B191"/>
    <mergeCell ref="C191:D191"/>
    <mergeCell ref="A184:B184"/>
    <mergeCell ref="C184:D184"/>
    <mergeCell ref="A185:B185"/>
    <mergeCell ref="C185:D185"/>
    <mergeCell ref="A186:B186"/>
    <mergeCell ref="C186:D186"/>
    <mergeCell ref="C179:D179"/>
    <mergeCell ref="A181:B181"/>
    <mergeCell ref="C181:D181"/>
    <mergeCell ref="A182:B182"/>
    <mergeCell ref="C182:D182"/>
    <mergeCell ref="A183:B183"/>
    <mergeCell ref="C183:D183"/>
    <mergeCell ref="A173:D173"/>
    <mergeCell ref="A174:D174"/>
    <mergeCell ref="A175:D175"/>
    <mergeCell ref="A176:D176"/>
    <mergeCell ref="A177:D177"/>
    <mergeCell ref="A178:B178"/>
    <mergeCell ref="C178:D178"/>
    <mergeCell ref="A170:B170"/>
    <mergeCell ref="C170:D170"/>
    <mergeCell ref="A171:B171"/>
    <mergeCell ref="C171:D171"/>
    <mergeCell ref="A172:B172"/>
    <mergeCell ref="C172:D172"/>
    <mergeCell ref="C165:D165"/>
    <mergeCell ref="A167:B167"/>
    <mergeCell ref="C167:D167"/>
    <mergeCell ref="A168:B168"/>
    <mergeCell ref="C168:D168"/>
    <mergeCell ref="A169:B169"/>
    <mergeCell ref="C169:D169"/>
    <mergeCell ref="A160:D160"/>
    <mergeCell ref="A161:D161"/>
    <mergeCell ref="A162:D162"/>
    <mergeCell ref="A163:D163"/>
    <mergeCell ref="A164:B164"/>
    <mergeCell ref="C164:D164"/>
    <mergeCell ref="A157:B157"/>
    <mergeCell ref="C157:D157"/>
    <mergeCell ref="A158:B158"/>
    <mergeCell ref="C158:D158"/>
    <mergeCell ref="A159:B159"/>
    <mergeCell ref="C159:D159"/>
    <mergeCell ref="C152:D152"/>
    <mergeCell ref="A154:B154"/>
    <mergeCell ref="C154:D154"/>
    <mergeCell ref="A155:B155"/>
    <mergeCell ref="C155:D155"/>
    <mergeCell ref="A156:B156"/>
    <mergeCell ref="C156:D156"/>
    <mergeCell ref="A146:D146"/>
    <mergeCell ref="A147:D147"/>
    <mergeCell ref="A148:D148"/>
    <mergeCell ref="A149:D149"/>
    <mergeCell ref="A150:D150"/>
    <mergeCell ref="A151:B151"/>
    <mergeCell ref="C151:D151"/>
    <mergeCell ref="A143:B143"/>
    <mergeCell ref="C143:D143"/>
    <mergeCell ref="A144:B144"/>
    <mergeCell ref="C144:D144"/>
    <mergeCell ref="A145:B145"/>
    <mergeCell ref="C145:D145"/>
    <mergeCell ref="C138:D138"/>
    <mergeCell ref="A140:B140"/>
    <mergeCell ref="C140:D140"/>
    <mergeCell ref="A141:B141"/>
    <mergeCell ref="C141:D141"/>
    <mergeCell ref="A142:B142"/>
    <mergeCell ref="C142:D142"/>
    <mergeCell ref="A133:D133"/>
    <mergeCell ref="A134:D134"/>
    <mergeCell ref="A135:D135"/>
    <mergeCell ref="A136:D136"/>
    <mergeCell ref="A137:B137"/>
    <mergeCell ref="C137:D137"/>
    <mergeCell ref="A130:B130"/>
    <mergeCell ref="C130:D130"/>
    <mergeCell ref="A131:B131"/>
    <mergeCell ref="C131:D131"/>
    <mergeCell ref="A132:B132"/>
    <mergeCell ref="C132:D132"/>
    <mergeCell ref="C125:D125"/>
    <mergeCell ref="A127:B127"/>
    <mergeCell ref="C127:D127"/>
    <mergeCell ref="A128:B128"/>
    <mergeCell ref="C128:D128"/>
    <mergeCell ref="A129:B129"/>
    <mergeCell ref="C129:D129"/>
    <mergeCell ref="A119:D119"/>
    <mergeCell ref="A120:D120"/>
    <mergeCell ref="A121:D121"/>
    <mergeCell ref="A122:D122"/>
    <mergeCell ref="A123:D123"/>
    <mergeCell ref="A124:B124"/>
    <mergeCell ref="C124:D124"/>
    <mergeCell ref="A116:B116"/>
    <mergeCell ref="C116:D116"/>
    <mergeCell ref="A117:B117"/>
    <mergeCell ref="C117:D117"/>
    <mergeCell ref="A118:B118"/>
    <mergeCell ref="C118:D118"/>
    <mergeCell ref="C111:D111"/>
    <mergeCell ref="A113:B113"/>
    <mergeCell ref="C113:D113"/>
    <mergeCell ref="A114:B114"/>
    <mergeCell ref="C114:D114"/>
    <mergeCell ref="A115:B115"/>
    <mergeCell ref="C115:D115"/>
    <mergeCell ref="A106:D106"/>
    <mergeCell ref="A107:D107"/>
    <mergeCell ref="A108:D108"/>
    <mergeCell ref="A109:D109"/>
    <mergeCell ref="A110:B110"/>
    <mergeCell ref="C110:D110"/>
    <mergeCell ref="A103:B103"/>
    <mergeCell ref="C103:D103"/>
    <mergeCell ref="A104:B104"/>
    <mergeCell ref="C104:D104"/>
    <mergeCell ref="A105:B105"/>
    <mergeCell ref="C105:D105"/>
    <mergeCell ref="C98:D98"/>
    <mergeCell ref="A100:B100"/>
    <mergeCell ref="C100:D100"/>
    <mergeCell ref="A101:B101"/>
    <mergeCell ref="C101:D101"/>
    <mergeCell ref="A102:B102"/>
    <mergeCell ref="C102:D102"/>
    <mergeCell ref="A92:D92"/>
    <mergeCell ref="A93:D93"/>
    <mergeCell ref="A94:D94"/>
    <mergeCell ref="A95:D95"/>
    <mergeCell ref="A96:D96"/>
    <mergeCell ref="A97:B97"/>
    <mergeCell ref="C97:D97"/>
    <mergeCell ref="A89:B89"/>
    <mergeCell ref="C89:D89"/>
    <mergeCell ref="A90:B90"/>
    <mergeCell ref="C90:D90"/>
    <mergeCell ref="A91:B91"/>
    <mergeCell ref="C91:D91"/>
    <mergeCell ref="C84:D84"/>
    <mergeCell ref="A86:B86"/>
    <mergeCell ref="C86:D86"/>
    <mergeCell ref="A87:B87"/>
    <mergeCell ref="C87:D87"/>
    <mergeCell ref="A88:B88"/>
    <mergeCell ref="C88:D88"/>
    <mergeCell ref="A79:D79"/>
    <mergeCell ref="A80:D80"/>
    <mergeCell ref="A81:D81"/>
    <mergeCell ref="A82:D82"/>
    <mergeCell ref="A83:B83"/>
    <mergeCell ref="C83:D83"/>
    <mergeCell ref="A76:B76"/>
    <mergeCell ref="C76:D76"/>
    <mergeCell ref="A77:B77"/>
    <mergeCell ref="C77:D77"/>
    <mergeCell ref="A78:B78"/>
    <mergeCell ref="C78:D78"/>
    <mergeCell ref="C71:D71"/>
    <mergeCell ref="A73:B73"/>
    <mergeCell ref="C73:D73"/>
    <mergeCell ref="A74:B74"/>
    <mergeCell ref="C74:D74"/>
    <mergeCell ref="A75:B75"/>
    <mergeCell ref="C75:D75"/>
    <mergeCell ref="A65:D65"/>
    <mergeCell ref="A66:D66"/>
    <mergeCell ref="A67:D67"/>
    <mergeCell ref="A68:D68"/>
    <mergeCell ref="A69:D69"/>
    <mergeCell ref="A70:B70"/>
    <mergeCell ref="C70:D70"/>
    <mergeCell ref="A62:B62"/>
    <mergeCell ref="C62:D62"/>
    <mergeCell ref="A63:B63"/>
    <mergeCell ref="C63:D63"/>
    <mergeCell ref="A64:B64"/>
    <mergeCell ref="C64:D64"/>
    <mergeCell ref="C57:D57"/>
    <mergeCell ref="A59:B59"/>
    <mergeCell ref="C59:D59"/>
    <mergeCell ref="A60:B60"/>
    <mergeCell ref="C60:D60"/>
    <mergeCell ref="A61:B61"/>
    <mergeCell ref="C61:D61"/>
    <mergeCell ref="A52:D52"/>
    <mergeCell ref="A53:D53"/>
    <mergeCell ref="A54:D54"/>
    <mergeCell ref="A55:D55"/>
    <mergeCell ref="A56:B56"/>
    <mergeCell ref="C56:D56"/>
    <mergeCell ref="A49:B49"/>
    <mergeCell ref="C49:D49"/>
    <mergeCell ref="A50:B50"/>
    <mergeCell ref="C50:D50"/>
    <mergeCell ref="A51:B51"/>
    <mergeCell ref="C51:D51"/>
    <mergeCell ref="C44:D44"/>
    <mergeCell ref="A46:B46"/>
    <mergeCell ref="C46:D46"/>
    <mergeCell ref="A47:B47"/>
    <mergeCell ref="C47:D47"/>
    <mergeCell ref="A48:B48"/>
    <mergeCell ref="C48:D48"/>
    <mergeCell ref="A38:D38"/>
    <mergeCell ref="A39:D39"/>
    <mergeCell ref="A40:D40"/>
    <mergeCell ref="A41:D41"/>
    <mergeCell ref="A42:D42"/>
    <mergeCell ref="A43:B43"/>
    <mergeCell ref="C43:D43"/>
    <mergeCell ref="A35:B35"/>
    <mergeCell ref="C35:D35"/>
    <mergeCell ref="A36:B36"/>
    <mergeCell ref="C36:D36"/>
    <mergeCell ref="A37:B37"/>
    <mergeCell ref="C37:D37"/>
    <mergeCell ref="C30:D30"/>
    <mergeCell ref="A32:B32"/>
    <mergeCell ref="C32:D32"/>
    <mergeCell ref="A33:B33"/>
    <mergeCell ref="C33:D33"/>
    <mergeCell ref="A34:B34"/>
    <mergeCell ref="C34:D34"/>
    <mergeCell ref="A25:D25"/>
    <mergeCell ref="A26:D26"/>
    <mergeCell ref="A27:D27"/>
    <mergeCell ref="A28:D28"/>
    <mergeCell ref="A29:B29"/>
    <mergeCell ref="C29:D29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3:D13"/>
    <mergeCell ref="A14:D14"/>
    <mergeCell ref="A15:D15"/>
    <mergeCell ref="A16:B16"/>
    <mergeCell ref="C16:D16"/>
    <mergeCell ref="C17:D17"/>
    <mergeCell ref="A9:B9"/>
    <mergeCell ref="C9:D9"/>
    <mergeCell ref="A10:B10"/>
    <mergeCell ref="C10:D10"/>
    <mergeCell ref="A11:D11"/>
    <mergeCell ref="A12:D12"/>
    <mergeCell ref="A6:B6"/>
    <mergeCell ref="C6:D6"/>
    <mergeCell ref="A7:B7"/>
    <mergeCell ref="C7:D7"/>
    <mergeCell ref="A8:B8"/>
    <mergeCell ref="C8:D8"/>
    <mergeCell ref="A1:D1"/>
    <mergeCell ref="A2:B2"/>
    <mergeCell ref="C2:D2"/>
    <mergeCell ref="C3:D3"/>
    <mergeCell ref="A5:B5"/>
    <mergeCell ref="C5:D5"/>
  </mergeCells>
  <printOptions horizontalCentered="1" verticalCentered="1"/>
  <pageMargins left="2.3228346456692917" right="2.204724409448819" top="0.11811023622047245" bottom="0.15748031496062992" header="0.11811023622047245" footer="0.15748031496062992"/>
  <pageSetup scale="66" orientation="portrait" r:id="rId1"/>
  <headerFooter>
    <oddHeader>&amp;C&amp;P</oddHeader>
  </headerFooter>
  <rowBreaks count="1" manualBreakCount="1">
    <brk id="27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0"/>
  <sheetViews>
    <sheetView tabSelected="1" showRuler="0" view="pageLayout" topLeftCell="A457" zoomScale="60" zoomScaleNormal="70" zoomScalePageLayoutView="60" workbookViewId="0">
      <selection activeCell="A460" sqref="A460:D486"/>
    </sheetView>
  </sheetViews>
  <sheetFormatPr defaultColWidth="10.6640625" defaultRowHeight="42.75" customHeight="1" x14ac:dyDescent="0.55000000000000004"/>
  <cols>
    <col min="1" max="1" width="14.6640625" style="59" customWidth="1"/>
    <col min="2" max="2" width="16.33203125" style="60" customWidth="1"/>
    <col min="3" max="3" width="20.88671875" style="60" customWidth="1"/>
    <col min="4" max="4" width="19" style="61" customWidth="1"/>
    <col min="5" max="5" width="24.88671875" style="5" customWidth="1"/>
    <col min="6" max="6" width="25.33203125" style="5" customWidth="1"/>
    <col min="7" max="7" width="12" style="5" customWidth="1"/>
    <col min="8" max="8" width="13.33203125" style="5" customWidth="1"/>
    <col min="9" max="9" width="31.33203125" style="5" customWidth="1"/>
    <col min="10" max="10" width="13.5546875" style="6" customWidth="1"/>
    <col min="11" max="11" width="14" style="6" customWidth="1"/>
    <col min="12" max="12" width="22.6640625" style="6" customWidth="1"/>
    <col min="13" max="16384" width="10.6640625" style="6"/>
  </cols>
  <sheetData>
    <row r="1" spans="1:16" ht="42.75" customHeight="1" thickBot="1" x14ac:dyDescent="0.6">
      <c r="A1" s="71" t="s">
        <v>13</v>
      </c>
      <c r="B1" s="72"/>
      <c r="C1" s="72"/>
      <c r="D1" s="73"/>
      <c r="E1" s="4"/>
      <c r="K1" s="7"/>
      <c r="L1" s="8"/>
      <c r="M1" s="8"/>
      <c r="N1" s="8"/>
      <c r="O1" s="8"/>
      <c r="P1" s="9"/>
    </row>
    <row r="2" spans="1:16" ht="42.75" customHeight="1" thickBot="1" x14ac:dyDescent="0.6">
      <c r="A2" s="10" t="s">
        <v>15</v>
      </c>
      <c r="B2" s="11"/>
      <c r="C2" s="12" t="s">
        <v>14</v>
      </c>
      <c r="D2" s="11"/>
      <c r="E2" s="13"/>
      <c r="K2" s="7"/>
      <c r="L2" s="8"/>
      <c r="M2" s="8"/>
      <c r="N2" s="8"/>
      <c r="O2" s="8"/>
      <c r="P2" s="9"/>
    </row>
    <row r="3" spans="1:16" ht="42.75" customHeight="1" thickBot="1" x14ac:dyDescent="0.6">
      <c r="A3" s="74" t="s">
        <v>17</v>
      </c>
      <c r="B3" s="15" t="s">
        <v>0</v>
      </c>
      <c r="C3" s="16" t="s">
        <v>16</v>
      </c>
      <c r="D3" s="17"/>
      <c r="E3" s="18">
        <f>(A10+A37+A64+A91+A118+A145+A172+A199+A226+A253+A280+A307+A334+A361)</f>
        <v>42000</v>
      </c>
      <c r="F3" s="19"/>
      <c r="G3" s="19"/>
      <c r="H3" s="19"/>
      <c r="K3" s="7"/>
      <c r="L3" s="8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8"/>
      <c r="N3" s="8"/>
      <c r="O3" s="8"/>
      <c r="P3" s="9"/>
    </row>
    <row r="4" spans="1:16" ht="42.75" customHeight="1" thickBot="1" x14ac:dyDescent="0.6">
      <c r="A4" s="15"/>
      <c r="B4" s="15" t="s">
        <v>1</v>
      </c>
      <c r="C4" s="20" t="s">
        <v>18</v>
      </c>
      <c r="D4" s="21" t="s">
        <v>2</v>
      </c>
      <c r="E4" s="22"/>
      <c r="K4" s="7"/>
      <c r="L4" s="8"/>
      <c r="M4" s="8"/>
      <c r="N4" s="8"/>
      <c r="O4" s="8"/>
      <c r="P4" s="9"/>
    </row>
    <row r="5" spans="1:16" ht="42.75" customHeight="1" thickBot="1" x14ac:dyDescent="0.6">
      <c r="A5" s="23">
        <v>1050</v>
      </c>
      <c r="B5" s="24"/>
      <c r="C5" s="25" t="s">
        <v>3</v>
      </c>
      <c r="D5" s="26"/>
      <c r="E5" s="27">
        <f>E3-E4</f>
        <v>42000</v>
      </c>
      <c r="K5" s="28"/>
      <c r="L5" s="29"/>
      <c r="M5" s="29"/>
      <c r="N5" s="29"/>
      <c r="O5" s="29"/>
      <c r="P5" s="30"/>
    </row>
    <row r="6" spans="1:16" ht="42.75" customHeight="1" thickBot="1" x14ac:dyDescent="0.6">
      <c r="A6" s="23">
        <v>1100</v>
      </c>
      <c r="B6" s="24"/>
      <c r="C6" s="31" t="s">
        <v>4</v>
      </c>
      <c r="D6" s="32"/>
      <c r="E6" s="33"/>
    </row>
    <row r="7" spans="1:16" ht="42.75" customHeight="1" thickBot="1" x14ac:dyDescent="0.7">
      <c r="A7" s="34">
        <f>A6-A5</f>
        <v>50</v>
      </c>
      <c r="B7" s="35"/>
      <c r="C7" s="36" t="s">
        <v>5</v>
      </c>
      <c r="D7" s="32"/>
      <c r="E7" s="37"/>
    </row>
    <row r="8" spans="1:16" ht="42.75" customHeight="1" thickBot="1" x14ac:dyDescent="0.6">
      <c r="A8" s="38">
        <v>60</v>
      </c>
      <c r="B8" s="39"/>
      <c r="C8" s="31" t="s">
        <v>6</v>
      </c>
      <c r="D8" s="32"/>
      <c r="E8" s="37"/>
    </row>
    <row r="9" spans="1:16" ht="42.75" customHeight="1" thickBot="1" x14ac:dyDescent="0.6">
      <c r="A9" s="40"/>
      <c r="B9" s="41"/>
      <c r="C9" s="31" t="s">
        <v>7</v>
      </c>
      <c r="D9" s="32"/>
      <c r="E9" s="37"/>
    </row>
    <row r="10" spans="1:16" ht="42.75" customHeight="1" thickBot="1" x14ac:dyDescent="0.6">
      <c r="A10" s="42">
        <f>A8*A7</f>
        <v>3000</v>
      </c>
      <c r="B10" s="43"/>
      <c r="C10" s="31" t="s">
        <v>8</v>
      </c>
      <c r="D10" s="32"/>
      <c r="E10" s="37">
        <f>SUM(A7+A61+A88+A115+A142+A169+A196+A223+A250+A277+A304+A331+A358+A385+A412+A439+A466+A493+A520+A547+A574+A601+A628+A655+A682+A709+A736+A763+A790+A817+A844+A871+A898+A925+A952+A979+A1006+A1033+A1060+A1087+A1114+A1141+A1168+A1195+A1222+A1249)</f>
        <v>850</v>
      </c>
    </row>
    <row r="11" spans="1:16" ht="42.75" customHeight="1" thickBot="1" x14ac:dyDescent="0.6">
      <c r="A11" s="62" t="s">
        <v>9</v>
      </c>
      <c r="B11" s="63"/>
      <c r="C11" s="63"/>
      <c r="D11" s="64"/>
      <c r="E11" s="37"/>
    </row>
    <row r="12" spans="1:16" ht="42.75" customHeight="1" thickBot="1" x14ac:dyDescent="0.6">
      <c r="A12" s="65" t="s">
        <v>10</v>
      </c>
      <c r="B12" s="66"/>
      <c r="C12" s="66"/>
      <c r="D12" s="67"/>
      <c r="E12" s="37"/>
    </row>
    <row r="13" spans="1:16" ht="42.75" customHeight="1" thickBot="1" x14ac:dyDescent="0.6">
      <c r="A13" s="68" t="s">
        <v>11</v>
      </c>
      <c r="B13" s="69"/>
      <c r="C13" s="69"/>
      <c r="D13" s="70"/>
      <c r="E13" s="37"/>
    </row>
    <row r="14" spans="1:16" ht="42.75" customHeight="1" thickBot="1" x14ac:dyDescent="0.6">
      <c r="A14" s="53"/>
      <c r="B14" s="53"/>
      <c r="C14" s="53"/>
      <c r="D14" s="53"/>
      <c r="E14" s="37"/>
    </row>
    <row r="15" spans="1:16" ht="42.75" customHeight="1" thickBot="1" x14ac:dyDescent="0.6">
      <c r="A15" s="71" t="s">
        <v>13</v>
      </c>
      <c r="B15" s="72"/>
      <c r="C15" s="72"/>
      <c r="D15" s="73"/>
      <c r="E15" s="37"/>
    </row>
    <row r="16" spans="1:16" s="5" customFormat="1" ht="42.75" customHeight="1" thickBot="1" x14ac:dyDescent="0.6">
      <c r="A16" s="10" t="s">
        <v>15</v>
      </c>
      <c r="B16" s="11"/>
      <c r="C16" s="12" t="s">
        <v>14</v>
      </c>
      <c r="D16" s="11"/>
      <c r="E16" s="4"/>
      <c r="J16" s="6"/>
      <c r="K16" s="6"/>
      <c r="L16" s="6"/>
      <c r="M16" s="6"/>
      <c r="N16" s="6"/>
      <c r="O16" s="6"/>
      <c r="P16" s="6"/>
    </row>
    <row r="17" spans="1:16" s="5" customFormat="1" ht="42.75" customHeight="1" thickBot="1" x14ac:dyDescent="0.6">
      <c r="A17" s="74" t="s">
        <v>17</v>
      </c>
      <c r="B17" s="15" t="s">
        <v>0</v>
      </c>
      <c r="C17" s="16" t="s">
        <v>16</v>
      </c>
      <c r="D17" s="17"/>
      <c r="E17" s="4"/>
      <c r="J17" s="6"/>
      <c r="K17" s="6"/>
      <c r="L17" s="6"/>
      <c r="M17" s="6"/>
      <c r="N17" s="6"/>
      <c r="O17" s="6"/>
      <c r="P17" s="6"/>
    </row>
    <row r="18" spans="1:16" s="5" customFormat="1" ht="42.75" customHeight="1" thickBot="1" x14ac:dyDescent="0.6">
      <c r="A18" s="15"/>
      <c r="B18" s="15" t="s">
        <v>1</v>
      </c>
      <c r="C18" s="20" t="s">
        <v>18</v>
      </c>
      <c r="D18" s="21" t="s">
        <v>2</v>
      </c>
      <c r="E18" s="54"/>
      <c r="J18" s="6"/>
      <c r="K18" s="6"/>
      <c r="L18" s="6"/>
      <c r="M18" s="6"/>
      <c r="N18" s="6"/>
      <c r="O18" s="6"/>
      <c r="P18" s="6"/>
    </row>
    <row r="19" spans="1:16" s="5" customFormat="1" ht="42.75" customHeight="1" thickBot="1" x14ac:dyDescent="0.6">
      <c r="A19" s="23">
        <v>1050</v>
      </c>
      <c r="B19" s="24"/>
      <c r="C19" s="25" t="s">
        <v>3</v>
      </c>
      <c r="D19" s="26"/>
      <c r="E19" s="54"/>
      <c r="J19" s="6"/>
      <c r="K19" s="6"/>
      <c r="L19" s="6"/>
      <c r="M19" s="6"/>
      <c r="N19" s="6"/>
      <c r="O19" s="6"/>
      <c r="P19" s="6"/>
    </row>
    <row r="20" spans="1:16" s="5" customFormat="1" ht="42.75" customHeight="1" thickBot="1" x14ac:dyDescent="0.6">
      <c r="A20" s="23">
        <v>1100</v>
      </c>
      <c r="B20" s="24"/>
      <c r="C20" s="31" t="s">
        <v>4</v>
      </c>
      <c r="D20" s="32"/>
      <c r="E20" s="55"/>
      <c r="J20" s="6"/>
      <c r="K20" s="6"/>
      <c r="L20" s="6"/>
      <c r="M20" s="6"/>
      <c r="N20" s="6"/>
      <c r="O20" s="6"/>
      <c r="P20" s="6"/>
    </row>
    <row r="21" spans="1:16" s="5" customFormat="1" ht="42.75" customHeight="1" thickBot="1" x14ac:dyDescent="0.7">
      <c r="A21" s="34">
        <f>A20-A19</f>
        <v>50</v>
      </c>
      <c r="B21" s="35"/>
      <c r="C21" s="36" t="s">
        <v>5</v>
      </c>
      <c r="D21" s="32"/>
      <c r="E21" s="37"/>
      <c r="J21" s="6"/>
      <c r="K21" s="6"/>
      <c r="L21" s="6"/>
      <c r="M21" s="6"/>
      <c r="N21" s="6"/>
      <c r="O21" s="6"/>
      <c r="P21" s="6"/>
    </row>
    <row r="22" spans="1:16" s="5" customFormat="1" ht="42.75" customHeight="1" thickBot="1" x14ac:dyDescent="0.6">
      <c r="A22" s="38">
        <v>60</v>
      </c>
      <c r="B22" s="39"/>
      <c r="C22" s="31" t="s">
        <v>6</v>
      </c>
      <c r="D22" s="32"/>
      <c r="E22" s="37"/>
      <c r="J22" s="6"/>
      <c r="K22" s="6"/>
      <c r="L22" s="6"/>
      <c r="M22" s="6"/>
      <c r="N22" s="6"/>
      <c r="O22" s="6"/>
      <c r="P22" s="6"/>
    </row>
    <row r="23" spans="1:16" s="5" customFormat="1" ht="42.75" customHeight="1" thickBot="1" x14ac:dyDescent="0.6">
      <c r="A23" s="40"/>
      <c r="B23" s="41"/>
      <c r="C23" s="31" t="s">
        <v>7</v>
      </c>
      <c r="D23" s="32"/>
      <c r="E23" s="37"/>
      <c r="J23" s="6"/>
      <c r="K23" s="6"/>
      <c r="L23" s="6"/>
      <c r="M23" s="6"/>
      <c r="N23" s="6"/>
      <c r="O23" s="6"/>
      <c r="P23" s="6"/>
    </row>
    <row r="24" spans="1:16" s="5" customFormat="1" ht="42.75" customHeight="1" thickBot="1" x14ac:dyDescent="0.6">
      <c r="A24" s="42">
        <f>A22*A21</f>
        <v>3000</v>
      </c>
      <c r="B24" s="43"/>
      <c r="C24" s="31" t="s">
        <v>8</v>
      </c>
      <c r="D24" s="32"/>
      <c r="E24" s="37"/>
      <c r="J24" s="6"/>
      <c r="K24" s="6"/>
      <c r="L24" s="6"/>
      <c r="M24" s="6"/>
      <c r="N24" s="6"/>
      <c r="O24" s="6"/>
      <c r="P24" s="6"/>
    </row>
    <row r="25" spans="1:16" s="5" customFormat="1" ht="42.75" customHeight="1" thickBot="1" x14ac:dyDescent="0.6">
      <c r="A25" s="62" t="s">
        <v>9</v>
      </c>
      <c r="B25" s="63"/>
      <c r="C25" s="63"/>
      <c r="D25" s="64"/>
      <c r="E25" s="37"/>
      <c r="J25" s="6"/>
      <c r="K25" s="6"/>
      <c r="L25" s="6"/>
      <c r="M25" s="6"/>
      <c r="N25" s="6"/>
      <c r="O25" s="6"/>
      <c r="P25" s="6"/>
    </row>
    <row r="26" spans="1:16" s="5" customFormat="1" ht="42.75" customHeight="1" thickBot="1" x14ac:dyDescent="0.6">
      <c r="A26" s="65" t="s">
        <v>10</v>
      </c>
      <c r="B26" s="66"/>
      <c r="C26" s="66"/>
      <c r="D26" s="67"/>
      <c r="E26" s="37"/>
      <c r="J26" s="6"/>
      <c r="K26" s="6"/>
      <c r="L26" s="6"/>
      <c r="M26" s="6"/>
      <c r="N26" s="6"/>
      <c r="O26" s="6"/>
      <c r="P26" s="6"/>
    </row>
    <row r="27" spans="1:16" s="5" customFormat="1" ht="42.75" customHeight="1" thickBot="1" x14ac:dyDescent="0.6">
      <c r="A27" s="68" t="s">
        <v>11</v>
      </c>
      <c r="B27" s="69"/>
      <c r="C27" s="69"/>
      <c r="D27" s="70"/>
      <c r="E27" s="37" t="s">
        <v>12</v>
      </c>
      <c r="J27" s="6"/>
      <c r="K27" s="6"/>
      <c r="L27" s="6"/>
      <c r="M27" s="6"/>
      <c r="N27" s="6"/>
      <c r="O27" s="6"/>
      <c r="P27" s="6"/>
    </row>
    <row r="28" spans="1:16" s="5" customFormat="1" ht="42.75" customHeight="1" thickBot="1" x14ac:dyDescent="0.6">
      <c r="A28" s="71" t="s">
        <v>13</v>
      </c>
      <c r="B28" s="72"/>
      <c r="C28" s="72"/>
      <c r="D28" s="73"/>
      <c r="E28" s="37"/>
      <c r="J28" s="6"/>
      <c r="K28" s="6"/>
      <c r="L28" s="6"/>
      <c r="M28" s="6"/>
      <c r="N28" s="6"/>
      <c r="O28" s="6"/>
      <c r="P28" s="6"/>
    </row>
    <row r="29" spans="1:16" s="5" customFormat="1" ht="42.75" customHeight="1" thickBot="1" x14ac:dyDescent="0.6">
      <c r="A29" s="10" t="s">
        <v>15</v>
      </c>
      <c r="B29" s="11"/>
      <c r="C29" s="12" t="s">
        <v>14</v>
      </c>
      <c r="D29" s="11"/>
      <c r="E29" s="37"/>
      <c r="J29" s="6"/>
      <c r="K29" s="6"/>
      <c r="L29" s="6"/>
      <c r="M29" s="6"/>
      <c r="N29" s="6"/>
      <c r="O29" s="6"/>
      <c r="P29" s="6"/>
    </row>
    <row r="30" spans="1:16" s="5" customFormat="1" ht="42.75" customHeight="1" thickBot="1" x14ac:dyDescent="0.6">
      <c r="A30" s="74" t="s">
        <v>17</v>
      </c>
      <c r="B30" s="15" t="s">
        <v>0</v>
      </c>
      <c r="C30" s="16" t="s">
        <v>16</v>
      </c>
      <c r="D30" s="17"/>
      <c r="E30" s="4"/>
      <c r="J30" s="6"/>
      <c r="K30" s="6"/>
      <c r="L30" s="6"/>
      <c r="M30" s="6"/>
      <c r="N30" s="6"/>
      <c r="O30" s="6"/>
      <c r="P30" s="6"/>
    </row>
    <row r="31" spans="1:16" s="5" customFormat="1" ht="42.75" customHeight="1" thickBot="1" x14ac:dyDescent="0.6">
      <c r="A31" s="15"/>
      <c r="B31" s="15" t="s">
        <v>1</v>
      </c>
      <c r="C31" s="20" t="s">
        <v>18</v>
      </c>
      <c r="D31" s="21" t="s">
        <v>2</v>
      </c>
      <c r="E31" s="4"/>
      <c r="J31" s="6"/>
      <c r="K31" s="6"/>
      <c r="L31" s="6"/>
      <c r="M31" s="6"/>
      <c r="N31" s="6"/>
      <c r="O31" s="6"/>
      <c r="P31" s="6"/>
    </row>
    <row r="32" spans="1:16" s="5" customFormat="1" ht="42.75" customHeight="1" thickBot="1" x14ac:dyDescent="0.6">
      <c r="A32" s="23">
        <v>1050</v>
      </c>
      <c r="B32" s="24"/>
      <c r="C32" s="25" t="s">
        <v>3</v>
      </c>
      <c r="D32" s="26"/>
      <c r="E32" s="54"/>
      <c r="J32" s="6"/>
      <c r="K32" s="6"/>
      <c r="L32" s="6"/>
      <c r="M32" s="6"/>
      <c r="N32" s="6"/>
      <c r="O32" s="6"/>
      <c r="P32" s="6"/>
    </row>
    <row r="33" spans="1:16" s="5" customFormat="1" ht="42.75" customHeight="1" thickBot="1" x14ac:dyDescent="0.6">
      <c r="A33" s="23">
        <v>1100</v>
      </c>
      <c r="B33" s="24"/>
      <c r="C33" s="31" t="s">
        <v>4</v>
      </c>
      <c r="D33" s="32"/>
      <c r="E33" s="54"/>
      <c r="J33" s="6"/>
      <c r="K33" s="6"/>
      <c r="L33" s="6"/>
      <c r="M33" s="6"/>
      <c r="N33" s="6"/>
      <c r="O33" s="6"/>
      <c r="P33" s="6"/>
    </row>
    <row r="34" spans="1:16" s="5" customFormat="1" ht="42.75" customHeight="1" thickBot="1" x14ac:dyDescent="0.7">
      <c r="A34" s="34">
        <f>A33-A32</f>
        <v>50</v>
      </c>
      <c r="B34" s="35"/>
      <c r="C34" s="36" t="s">
        <v>5</v>
      </c>
      <c r="D34" s="32"/>
      <c r="E34" s="55"/>
      <c r="J34" s="6"/>
      <c r="K34" s="6"/>
      <c r="L34" s="6"/>
      <c r="M34" s="6"/>
      <c r="N34" s="6"/>
      <c r="O34" s="6"/>
      <c r="P34" s="6"/>
    </row>
    <row r="35" spans="1:16" s="5" customFormat="1" ht="42.75" customHeight="1" thickBot="1" x14ac:dyDescent="0.6">
      <c r="A35" s="38">
        <v>60</v>
      </c>
      <c r="B35" s="39"/>
      <c r="C35" s="31" t="s">
        <v>6</v>
      </c>
      <c r="D35" s="32"/>
      <c r="E35" s="37"/>
      <c r="J35" s="6"/>
      <c r="K35" s="6"/>
      <c r="L35" s="6"/>
      <c r="M35" s="6"/>
      <c r="N35" s="6"/>
      <c r="O35" s="6"/>
      <c r="P35" s="6"/>
    </row>
    <row r="36" spans="1:16" s="5" customFormat="1" ht="42.75" customHeight="1" thickBot="1" x14ac:dyDescent="0.6">
      <c r="A36" s="40"/>
      <c r="B36" s="41"/>
      <c r="C36" s="31" t="s">
        <v>7</v>
      </c>
      <c r="D36" s="32"/>
      <c r="E36" s="37"/>
      <c r="J36" s="6"/>
      <c r="K36" s="6"/>
      <c r="L36" s="6"/>
      <c r="M36" s="6"/>
      <c r="N36" s="6"/>
      <c r="O36" s="6"/>
      <c r="P36" s="6"/>
    </row>
    <row r="37" spans="1:16" s="5" customFormat="1" ht="42.75" customHeight="1" thickBot="1" x14ac:dyDescent="0.6">
      <c r="A37" s="42">
        <f>A35*A34</f>
        <v>3000</v>
      </c>
      <c r="B37" s="43"/>
      <c r="C37" s="31" t="s">
        <v>8</v>
      </c>
      <c r="D37" s="32"/>
      <c r="E37" s="37"/>
      <c r="J37" s="6"/>
      <c r="K37" s="6"/>
      <c r="L37" s="6"/>
      <c r="M37" s="6"/>
      <c r="N37" s="6"/>
      <c r="O37" s="6"/>
      <c r="P37" s="6"/>
    </row>
    <row r="38" spans="1:16" s="5" customFormat="1" ht="42.75" customHeight="1" thickBot="1" x14ac:dyDescent="0.6">
      <c r="A38" s="62" t="s">
        <v>9</v>
      </c>
      <c r="B38" s="63"/>
      <c r="C38" s="63"/>
      <c r="D38" s="64"/>
      <c r="E38" s="37"/>
      <c r="J38" s="6"/>
      <c r="K38" s="6"/>
      <c r="L38" s="6"/>
      <c r="M38" s="6"/>
      <c r="N38" s="6"/>
      <c r="O38" s="6"/>
      <c r="P38" s="6"/>
    </row>
    <row r="39" spans="1:16" s="5" customFormat="1" ht="42.75" customHeight="1" thickBot="1" x14ac:dyDescent="0.6">
      <c r="A39" s="65" t="s">
        <v>10</v>
      </c>
      <c r="B39" s="66"/>
      <c r="C39" s="66"/>
      <c r="D39" s="67"/>
      <c r="E39" s="37"/>
      <c r="J39" s="6"/>
      <c r="K39" s="6"/>
      <c r="L39" s="6"/>
      <c r="M39" s="6"/>
      <c r="N39" s="6"/>
      <c r="O39" s="6"/>
      <c r="P39" s="6"/>
    </row>
    <row r="40" spans="1:16" s="5" customFormat="1" ht="42.75" customHeight="1" thickBot="1" x14ac:dyDescent="0.6">
      <c r="A40" s="68" t="s">
        <v>11</v>
      </c>
      <c r="B40" s="69"/>
      <c r="C40" s="69"/>
      <c r="D40" s="70"/>
      <c r="E40" s="37"/>
      <c r="J40" s="6"/>
      <c r="K40" s="6"/>
      <c r="L40" s="6"/>
      <c r="M40" s="6"/>
      <c r="N40" s="6"/>
      <c r="O40" s="6"/>
      <c r="P40" s="6"/>
    </row>
    <row r="41" spans="1:16" s="5" customFormat="1" ht="42.75" customHeight="1" thickBot="1" x14ac:dyDescent="0.6">
      <c r="A41" s="53"/>
      <c r="B41" s="53"/>
      <c r="C41" s="53"/>
      <c r="D41" s="53"/>
      <c r="E41" s="37"/>
      <c r="J41" s="6"/>
      <c r="K41" s="6"/>
      <c r="L41" s="6"/>
      <c r="M41" s="6"/>
      <c r="N41" s="6"/>
      <c r="O41" s="6"/>
      <c r="P41" s="6"/>
    </row>
    <row r="42" spans="1:16" s="5" customFormat="1" ht="42.75" customHeight="1" thickBot="1" x14ac:dyDescent="0.6">
      <c r="A42" s="71" t="s">
        <v>13</v>
      </c>
      <c r="B42" s="72"/>
      <c r="C42" s="72"/>
      <c r="D42" s="73"/>
      <c r="E42" s="37"/>
      <c r="J42" s="6"/>
      <c r="K42" s="6"/>
      <c r="L42" s="6"/>
      <c r="M42" s="6"/>
      <c r="N42" s="6"/>
      <c r="O42" s="6"/>
      <c r="P42" s="6"/>
    </row>
    <row r="43" spans="1:16" s="5" customFormat="1" ht="42.75" customHeight="1" thickBot="1" x14ac:dyDescent="0.6">
      <c r="A43" s="10" t="s">
        <v>15</v>
      </c>
      <c r="B43" s="11"/>
      <c r="C43" s="12" t="s">
        <v>14</v>
      </c>
      <c r="D43" s="11"/>
      <c r="E43" s="37"/>
      <c r="J43" s="6"/>
      <c r="K43" s="6"/>
      <c r="L43" s="6"/>
      <c r="M43" s="6"/>
      <c r="N43" s="6"/>
      <c r="O43" s="6"/>
      <c r="P43" s="6"/>
    </row>
    <row r="44" spans="1:16" s="5" customFormat="1" ht="42.75" customHeight="1" thickBot="1" x14ac:dyDescent="0.6">
      <c r="A44" s="74" t="s">
        <v>17</v>
      </c>
      <c r="B44" s="15" t="s">
        <v>0</v>
      </c>
      <c r="C44" s="16" t="s">
        <v>16</v>
      </c>
      <c r="D44" s="17"/>
      <c r="E44" s="37"/>
      <c r="J44" s="6"/>
      <c r="K44" s="6"/>
      <c r="L44" s="6"/>
      <c r="M44" s="6"/>
      <c r="N44" s="6"/>
      <c r="O44" s="6"/>
      <c r="P44" s="6"/>
    </row>
    <row r="45" spans="1:16" s="5" customFormat="1" ht="42.75" customHeight="1" thickBot="1" x14ac:dyDescent="0.6">
      <c r="A45" s="15"/>
      <c r="B45" s="15" t="s">
        <v>1</v>
      </c>
      <c r="C45" s="20" t="s">
        <v>18</v>
      </c>
      <c r="D45" s="21" t="s">
        <v>2</v>
      </c>
      <c r="E45" s="37"/>
      <c r="J45" s="6"/>
      <c r="K45" s="6"/>
      <c r="L45" s="6"/>
      <c r="M45" s="6"/>
      <c r="N45" s="6"/>
      <c r="O45" s="6"/>
      <c r="P45" s="6"/>
    </row>
    <row r="46" spans="1:16" s="5" customFormat="1" ht="42.75" customHeight="1" thickBot="1" x14ac:dyDescent="0.6">
      <c r="A46" s="23">
        <v>1050</v>
      </c>
      <c r="B46" s="24"/>
      <c r="C46" s="25" t="s">
        <v>3</v>
      </c>
      <c r="D46" s="26"/>
      <c r="E46" s="4"/>
      <c r="J46" s="6"/>
      <c r="K46" s="6"/>
      <c r="L46" s="6"/>
      <c r="M46" s="6"/>
      <c r="N46" s="6"/>
      <c r="O46" s="6"/>
      <c r="P46" s="6"/>
    </row>
    <row r="47" spans="1:16" s="5" customFormat="1" ht="42.75" customHeight="1" thickBot="1" x14ac:dyDescent="0.6">
      <c r="A47" s="23">
        <v>1100</v>
      </c>
      <c r="B47" s="24"/>
      <c r="C47" s="31" t="s">
        <v>4</v>
      </c>
      <c r="D47" s="32"/>
      <c r="E47" s="4"/>
      <c r="J47" s="6"/>
      <c r="K47" s="6"/>
      <c r="L47" s="6"/>
      <c r="M47" s="6"/>
      <c r="N47" s="6"/>
      <c r="O47" s="6"/>
      <c r="P47" s="6"/>
    </row>
    <row r="48" spans="1:16" s="5" customFormat="1" ht="42.75" customHeight="1" thickBot="1" x14ac:dyDescent="0.7">
      <c r="A48" s="34">
        <f>A47-A46</f>
        <v>50</v>
      </c>
      <c r="B48" s="35"/>
      <c r="C48" s="36" t="s">
        <v>5</v>
      </c>
      <c r="D48" s="32"/>
      <c r="E48" s="54"/>
      <c r="J48" s="6"/>
      <c r="K48" s="6"/>
      <c r="L48" s="6"/>
      <c r="M48" s="6"/>
      <c r="N48" s="6"/>
      <c r="O48" s="6"/>
      <c r="P48" s="6"/>
    </row>
    <row r="49" spans="1:16" s="5" customFormat="1" ht="42.75" customHeight="1" thickBot="1" x14ac:dyDescent="0.6">
      <c r="A49" s="38">
        <v>60</v>
      </c>
      <c r="B49" s="39"/>
      <c r="C49" s="31" t="s">
        <v>6</v>
      </c>
      <c r="D49" s="32"/>
      <c r="E49" s="54"/>
      <c r="J49" s="6"/>
      <c r="K49" s="6"/>
      <c r="L49" s="6"/>
      <c r="M49" s="6"/>
      <c r="N49" s="6"/>
      <c r="O49" s="6"/>
      <c r="P49" s="6"/>
    </row>
    <row r="50" spans="1:16" s="5" customFormat="1" ht="42.75" customHeight="1" thickBot="1" x14ac:dyDescent="0.6">
      <c r="A50" s="40"/>
      <c r="B50" s="41"/>
      <c r="C50" s="31" t="s">
        <v>7</v>
      </c>
      <c r="D50" s="32"/>
      <c r="E50" s="55"/>
      <c r="J50" s="6"/>
      <c r="K50" s="6"/>
      <c r="L50" s="6"/>
      <c r="M50" s="6"/>
      <c r="N50" s="6"/>
      <c r="O50" s="6"/>
      <c r="P50" s="6"/>
    </row>
    <row r="51" spans="1:16" s="5" customFormat="1" ht="42.75" customHeight="1" thickBot="1" x14ac:dyDescent="0.6">
      <c r="A51" s="42">
        <f>A49*A48</f>
        <v>3000</v>
      </c>
      <c r="B51" s="43"/>
      <c r="C51" s="31" t="s">
        <v>8</v>
      </c>
      <c r="D51" s="32"/>
      <c r="E51" s="37"/>
      <c r="J51" s="6"/>
      <c r="K51" s="6"/>
      <c r="L51" s="6"/>
      <c r="M51" s="6"/>
      <c r="N51" s="6"/>
      <c r="O51" s="6"/>
      <c r="P51" s="6"/>
    </row>
    <row r="52" spans="1:16" s="5" customFormat="1" ht="42.75" customHeight="1" thickBot="1" x14ac:dyDescent="0.6">
      <c r="A52" s="62" t="s">
        <v>9</v>
      </c>
      <c r="B52" s="63"/>
      <c r="C52" s="63"/>
      <c r="D52" s="64"/>
      <c r="E52" s="37"/>
      <c r="J52" s="6"/>
      <c r="K52" s="6"/>
      <c r="L52" s="6"/>
      <c r="M52" s="6"/>
      <c r="N52" s="6"/>
      <c r="O52" s="6"/>
      <c r="P52" s="6"/>
    </row>
    <row r="53" spans="1:16" s="5" customFormat="1" ht="42.75" customHeight="1" thickBot="1" x14ac:dyDescent="0.6">
      <c r="A53" s="65" t="s">
        <v>10</v>
      </c>
      <c r="B53" s="66"/>
      <c r="C53" s="66"/>
      <c r="D53" s="67"/>
      <c r="E53" s="37"/>
      <c r="J53" s="6"/>
      <c r="K53" s="6"/>
      <c r="L53" s="6"/>
      <c r="M53" s="6"/>
      <c r="N53" s="6"/>
      <c r="O53" s="6"/>
      <c r="P53" s="6"/>
    </row>
    <row r="54" spans="1:16" s="5" customFormat="1" ht="42.75" customHeight="1" thickBot="1" x14ac:dyDescent="0.6">
      <c r="A54" s="68" t="s">
        <v>11</v>
      </c>
      <c r="B54" s="69"/>
      <c r="C54" s="69"/>
      <c r="D54" s="70"/>
      <c r="E54" s="37"/>
      <c r="J54" s="6"/>
      <c r="K54" s="6"/>
      <c r="L54" s="6"/>
      <c r="M54" s="6"/>
      <c r="N54" s="6"/>
      <c r="O54" s="6"/>
      <c r="P54" s="6"/>
    </row>
    <row r="55" spans="1:16" s="5" customFormat="1" ht="42.75" customHeight="1" thickBot="1" x14ac:dyDescent="0.6">
      <c r="A55" s="71" t="s">
        <v>13</v>
      </c>
      <c r="B55" s="72"/>
      <c r="C55" s="72"/>
      <c r="D55" s="73"/>
      <c r="E55" s="37"/>
      <c r="J55" s="6"/>
      <c r="K55" s="6"/>
      <c r="L55" s="6"/>
      <c r="M55" s="6"/>
      <c r="N55" s="6"/>
      <c r="O55" s="6"/>
      <c r="P55" s="6"/>
    </row>
    <row r="56" spans="1:16" s="5" customFormat="1" ht="42.75" customHeight="1" thickBot="1" x14ac:dyDescent="0.6">
      <c r="A56" s="10" t="s">
        <v>15</v>
      </c>
      <c r="B56" s="11"/>
      <c r="C56" s="12" t="s">
        <v>14</v>
      </c>
      <c r="D56" s="11"/>
      <c r="E56" s="37"/>
      <c r="J56" s="6"/>
      <c r="K56" s="6"/>
      <c r="L56" s="6"/>
      <c r="M56" s="6"/>
      <c r="N56" s="6"/>
      <c r="O56" s="6"/>
      <c r="P56" s="6"/>
    </row>
    <row r="57" spans="1:16" s="5" customFormat="1" ht="42.75" customHeight="1" thickBot="1" x14ac:dyDescent="0.6">
      <c r="A57" s="74" t="s">
        <v>17</v>
      </c>
      <c r="B57" s="15" t="s">
        <v>0</v>
      </c>
      <c r="C57" s="16" t="s">
        <v>16</v>
      </c>
      <c r="D57" s="17"/>
      <c r="E57" s="37"/>
      <c r="J57" s="6"/>
      <c r="K57" s="6"/>
      <c r="L57" s="6"/>
      <c r="M57" s="6"/>
      <c r="N57" s="6"/>
      <c r="O57" s="6"/>
      <c r="P57" s="6"/>
    </row>
    <row r="58" spans="1:16" s="5" customFormat="1" ht="42.75" customHeight="1" thickBot="1" x14ac:dyDescent="0.6">
      <c r="A58" s="15"/>
      <c r="B58" s="15" t="s">
        <v>1</v>
      </c>
      <c r="C58" s="20" t="s">
        <v>18</v>
      </c>
      <c r="D58" s="21" t="s">
        <v>2</v>
      </c>
      <c r="E58" s="37"/>
      <c r="J58" s="6"/>
      <c r="K58" s="6"/>
      <c r="L58" s="6"/>
      <c r="M58" s="6"/>
      <c r="N58" s="6"/>
      <c r="O58" s="6"/>
      <c r="P58" s="6"/>
    </row>
    <row r="59" spans="1:16" s="5" customFormat="1" ht="42.75" customHeight="1" thickBot="1" x14ac:dyDescent="0.6">
      <c r="A59" s="23">
        <v>1050</v>
      </c>
      <c r="B59" s="24"/>
      <c r="C59" s="25" t="s">
        <v>3</v>
      </c>
      <c r="D59" s="26"/>
      <c r="E59" s="37"/>
      <c r="J59" s="6"/>
      <c r="K59" s="6"/>
      <c r="L59" s="6"/>
      <c r="M59" s="6"/>
      <c r="N59" s="6"/>
      <c r="O59" s="6"/>
      <c r="P59" s="6"/>
    </row>
    <row r="60" spans="1:16" s="5" customFormat="1" ht="42.75" customHeight="1" thickBot="1" x14ac:dyDescent="0.6">
      <c r="A60" s="23">
        <v>1100</v>
      </c>
      <c r="B60" s="24"/>
      <c r="C60" s="31" t="s">
        <v>4</v>
      </c>
      <c r="D60" s="32"/>
      <c r="E60" s="37"/>
      <c r="J60" s="6"/>
      <c r="K60" s="6"/>
      <c r="L60" s="6"/>
      <c r="M60" s="6"/>
      <c r="N60" s="6"/>
      <c r="O60" s="6"/>
      <c r="P60" s="6"/>
    </row>
    <row r="61" spans="1:16" s="5" customFormat="1" ht="42.75" customHeight="1" thickBot="1" x14ac:dyDescent="0.7">
      <c r="A61" s="34">
        <f>A60-A59</f>
        <v>50</v>
      </c>
      <c r="B61" s="35"/>
      <c r="C61" s="36" t="s">
        <v>5</v>
      </c>
      <c r="D61" s="32"/>
      <c r="E61" s="4"/>
      <c r="J61" s="6"/>
      <c r="K61" s="6"/>
      <c r="L61" s="6"/>
      <c r="M61" s="6"/>
      <c r="N61" s="6"/>
      <c r="O61" s="6"/>
      <c r="P61" s="6"/>
    </row>
    <row r="62" spans="1:16" s="5" customFormat="1" ht="42.75" customHeight="1" thickBot="1" x14ac:dyDescent="0.6">
      <c r="A62" s="38">
        <v>60</v>
      </c>
      <c r="B62" s="39"/>
      <c r="C62" s="31" t="s">
        <v>6</v>
      </c>
      <c r="D62" s="32"/>
      <c r="E62" s="4"/>
      <c r="J62" s="6"/>
      <c r="K62" s="6"/>
      <c r="L62" s="6"/>
      <c r="M62" s="6"/>
      <c r="N62" s="6"/>
      <c r="O62" s="6"/>
      <c r="P62" s="6"/>
    </row>
    <row r="63" spans="1:16" s="5" customFormat="1" ht="42.75" customHeight="1" thickBot="1" x14ac:dyDescent="0.6">
      <c r="A63" s="40"/>
      <c r="B63" s="41"/>
      <c r="C63" s="31" t="s">
        <v>7</v>
      </c>
      <c r="D63" s="32"/>
      <c r="E63" s="54"/>
      <c r="J63" s="6"/>
      <c r="K63" s="6"/>
      <c r="L63" s="6"/>
      <c r="M63" s="6"/>
      <c r="N63" s="6"/>
      <c r="O63" s="6"/>
      <c r="P63" s="6"/>
    </row>
    <row r="64" spans="1:16" s="5" customFormat="1" ht="42.75" customHeight="1" thickBot="1" x14ac:dyDescent="0.6">
      <c r="A64" s="42">
        <f>A62*A61</f>
        <v>3000</v>
      </c>
      <c r="B64" s="43"/>
      <c r="C64" s="31" t="s">
        <v>8</v>
      </c>
      <c r="D64" s="32"/>
      <c r="E64" s="54"/>
      <c r="J64" s="6"/>
      <c r="K64" s="6"/>
      <c r="L64" s="6"/>
      <c r="M64" s="6"/>
      <c r="N64" s="6"/>
      <c r="O64" s="6"/>
      <c r="P64" s="6"/>
    </row>
    <row r="65" spans="1:16" s="5" customFormat="1" ht="42.75" customHeight="1" thickBot="1" x14ac:dyDescent="0.6">
      <c r="A65" s="62" t="s">
        <v>9</v>
      </c>
      <c r="B65" s="63"/>
      <c r="C65" s="63"/>
      <c r="D65" s="64"/>
      <c r="E65" s="55"/>
      <c r="J65" s="6"/>
      <c r="K65" s="6"/>
      <c r="L65" s="6"/>
      <c r="M65" s="6"/>
      <c r="N65" s="6"/>
      <c r="O65" s="6"/>
      <c r="P65" s="6"/>
    </row>
    <row r="66" spans="1:16" s="5" customFormat="1" ht="42.75" customHeight="1" thickBot="1" x14ac:dyDescent="0.6">
      <c r="A66" s="65" t="s">
        <v>10</v>
      </c>
      <c r="B66" s="66"/>
      <c r="C66" s="66"/>
      <c r="D66" s="67"/>
      <c r="E66" s="37"/>
      <c r="J66" s="6"/>
      <c r="K66" s="6"/>
      <c r="L66" s="6"/>
      <c r="M66" s="6"/>
      <c r="N66" s="6"/>
      <c r="O66" s="6"/>
      <c r="P66" s="6"/>
    </row>
    <row r="67" spans="1:16" s="5" customFormat="1" ht="42.75" customHeight="1" thickBot="1" x14ac:dyDescent="0.6">
      <c r="A67" s="68" t="s">
        <v>11</v>
      </c>
      <c r="B67" s="69"/>
      <c r="C67" s="69"/>
      <c r="D67" s="70"/>
      <c r="E67" s="37"/>
      <c r="J67" s="6"/>
      <c r="K67" s="6"/>
      <c r="L67" s="6"/>
      <c r="M67" s="6"/>
      <c r="N67" s="6"/>
      <c r="O67" s="6"/>
      <c r="P67" s="6"/>
    </row>
    <row r="68" spans="1:16" s="5" customFormat="1" ht="42.75" customHeight="1" thickBot="1" x14ac:dyDescent="0.6">
      <c r="A68" s="53"/>
      <c r="B68" s="53"/>
      <c r="C68" s="53"/>
      <c r="D68" s="53"/>
      <c r="E68" s="37"/>
      <c r="J68" s="6"/>
      <c r="K68" s="6"/>
      <c r="L68" s="6"/>
      <c r="M68" s="6"/>
      <c r="N68" s="6"/>
      <c r="O68" s="6"/>
      <c r="P68" s="6"/>
    </row>
    <row r="69" spans="1:16" s="5" customFormat="1" ht="42.75" customHeight="1" thickBot="1" x14ac:dyDescent="0.6">
      <c r="A69" s="71" t="s">
        <v>13</v>
      </c>
      <c r="B69" s="72"/>
      <c r="C69" s="72"/>
      <c r="D69" s="73"/>
      <c r="E69" s="37"/>
      <c r="J69" s="6"/>
      <c r="K69" s="6"/>
      <c r="L69" s="6"/>
      <c r="M69" s="6"/>
      <c r="N69" s="6"/>
      <c r="O69" s="6"/>
      <c r="P69" s="6"/>
    </row>
    <row r="70" spans="1:16" s="5" customFormat="1" ht="42.75" customHeight="1" thickBot="1" x14ac:dyDescent="0.6">
      <c r="A70" s="10" t="s">
        <v>15</v>
      </c>
      <c r="B70" s="11"/>
      <c r="C70" s="12" t="s">
        <v>14</v>
      </c>
      <c r="D70" s="11"/>
      <c r="E70" s="37"/>
      <c r="J70" s="6"/>
      <c r="K70" s="6"/>
      <c r="L70" s="6"/>
      <c r="M70" s="6"/>
      <c r="N70" s="6"/>
      <c r="O70" s="6"/>
      <c r="P70" s="6"/>
    </row>
    <row r="71" spans="1:16" s="5" customFormat="1" ht="42.75" customHeight="1" thickBot="1" x14ac:dyDescent="0.6">
      <c r="A71" s="74" t="s">
        <v>17</v>
      </c>
      <c r="B71" s="15" t="s">
        <v>0</v>
      </c>
      <c r="C71" s="16" t="s">
        <v>16</v>
      </c>
      <c r="D71" s="17"/>
      <c r="E71" s="37"/>
      <c r="J71" s="6"/>
      <c r="K71" s="6"/>
      <c r="L71" s="6"/>
      <c r="M71" s="6"/>
      <c r="N71" s="6"/>
      <c r="O71" s="6"/>
      <c r="P71" s="6"/>
    </row>
    <row r="72" spans="1:16" s="5" customFormat="1" ht="42.75" customHeight="1" thickBot="1" x14ac:dyDescent="0.6">
      <c r="A72" s="15"/>
      <c r="B72" s="15" t="s">
        <v>1</v>
      </c>
      <c r="C72" s="20" t="s">
        <v>18</v>
      </c>
      <c r="D72" s="21" t="s">
        <v>2</v>
      </c>
      <c r="E72" s="37"/>
      <c r="J72" s="6"/>
      <c r="K72" s="6"/>
      <c r="L72" s="6"/>
      <c r="M72" s="6"/>
      <c r="N72" s="6"/>
      <c r="O72" s="6"/>
      <c r="P72" s="6"/>
    </row>
    <row r="73" spans="1:16" s="5" customFormat="1" ht="42.75" customHeight="1" thickBot="1" x14ac:dyDescent="0.6">
      <c r="A73" s="23">
        <v>1050</v>
      </c>
      <c r="B73" s="24"/>
      <c r="C73" s="25" t="s">
        <v>3</v>
      </c>
      <c r="D73" s="26"/>
      <c r="E73" s="37"/>
      <c r="J73" s="6"/>
      <c r="K73" s="6"/>
      <c r="L73" s="6"/>
      <c r="M73" s="6"/>
      <c r="N73" s="6"/>
      <c r="O73" s="6"/>
      <c r="P73" s="6"/>
    </row>
    <row r="74" spans="1:16" s="5" customFormat="1" ht="42.75" customHeight="1" thickBot="1" x14ac:dyDescent="0.6">
      <c r="A74" s="23">
        <v>1100</v>
      </c>
      <c r="B74" s="24"/>
      <c r="C74" s="31" t="s">
        <v>4</v>
      </c>
      <c r="D74" s="32"/>
      <c r="E74" s="37"/>
      <c r="J74" s="6"/>
      <c r="K74" s="6"/>
      <c r="L74" s="6"/>
      <c r="M74" s="6"/>
      <c r="N74" s="6"/>
      <c r="O74" s="6"/>
      <c r="P74" s="6"/>
    </row>
    <row r="75" spans="1:16" s="5" customFormat="1" ht="42.75" customHeight="1" thickBot="1" x14ac:dyDescent="0.7">
      <c r="A75" s="34">
        <f>A74-A73</f>
        <v>50</v>
      </c>
      <c r="B75" s="35"/>
      <c r="C75" s="36" t="s">
        <v>5</v>
      </c>
      <c r="D75" s="32"/>
      <c r="E75" s="37"/>
      <c r="J75" s="6"/>
      <c r="K75" s="6"/>
      <c r="L75" s="6"/>
      <c r="M75" s="6"/>
      <c r="N75" s="6"/>
      <c r="O75" s="6"/>
      <c r="P75" s="6"/>
    </row>
    <row r="76" spans="1:16" s="5" customFormat="1" ht="42.75" customHeight="1" thickBot="1" x14ac:dyDescent="0.6">
      <c r="A76" s="38">
        <v>60</v>
      </c>
      <c r="B76" s="39"/>
      <c r="C76" s="31" t="s">
        <v>6</v>
      </c>
      <c r="D76" s="32"/>
      <c r="E76" s="37"/>
      <c r="J76" s="6"/>
      <c r="K76" s="6"/>
      <c r="L76" s="6"/>
      <c r="M76" s="6"/>
      <c r="N76" s="6"/>
      <c r="O76" s="6"/>
      <c r="P76" s="6"/>
    </row>
    <row r="77" spans="1:16" s="5" customFormat="1" ht="42.75" customHeight="1" thickBot="1" x14ac:dyDescent="0.6">
      <c r="A77" s="40"/>
      <c r="B77" s="41"/>
      <c r="C77" s="31" t="s">
        <v>7</v>
      </c>
      <c r="D77" s="32"/>
      <c r="E77" s="4"/>
      <c r="J77" s="6"/>
      <c r="K77" s="6"/>
      <c r="L77" s="6"/>
      <c r="M77" s="6"/>
      <c r="N77" s="6"/>
      <c r="O77" s="6"/>
      <c r="P77" s="6"/>
    </row>
    <row r="78" spans="1:16" s="5" customFormat="1" ht="42.75" customHeight="1" thickBot="1" x14ac:dyDescent="0.6">
      <c r="A78" s="42">
        <f>A76*A75</f>
        <v>3000</v>
      </c>
      <c r="B78" s="43"/>
      <c r="C78" s="31" t="s">
        <v>8</v>
      </c>
      <c r="D78" s="32"/>
      <c r="E78" s="4"/>
      <c r="J78" s="6"/>
      <c r="K78" s="6"/>
      <c r="L78" s="6"/>
      <c r="M78" s="6"/>
      <c r="N78" s="6"/>
      <c r="O78" s="6"/>
      <c r="P78" s="6"/>
    </row>
    <row r="79" spans="1:16" s="5" customFormat="1" ht="42.75" customHeight="1" thickBot="1" x14ac:dyDescent="0.6">
      <c r="A79" s="62" t="s">
        <v>9</v>
      </c>
      <c r="B79" s="63"/>
      <c r="C79" s="63"/>
      <c r="D79" s="64"/>
      <c r="E79" s="54"/>
      <c r="J79" s="6"/>
      <c r="K79" s="6"/>
      <c r="L79" s="6"/>
      <c r="M79" s="6"/>
      <c r="N79" s="6"/>
      <c r="O79" s="6"/>
      <c r="P79" s="6"/>
    </row>
    <row r="80" spans="1:16" s="5" customFormat="1" ht="42.75" customHeight="1" thickBot="1" x14ac:dyDescent="0.6">
      <c r="A80" s="65" t="s">
        <v>10</v>
      </c>
      <c r="B80" s="66"/>
      <c r="C80" s="66"/>
      <c r="D80" s="67"/>
      <c r="E80" s="54"/>
      <c r="J80" s="6"/>
      <c r="K80" s="6"/>
      <c r="L80" s="6"/>
      <c r="M80" s="6"/>
      <c r="N80" s="6"/>
      <c r="O80" s="6"/>
      <c r="P80" s="6"/>
    </row>
    <row r="81" spans="1:16" s="5" customFormat="1" ht="42.75" customHeight="1" thickBot="1" x14ac:dyDescent="0.6">
      <c r="A81" s="68" t="s">
        <v>11</v>
      </c>
      <c r="B81" s="69"/>
      <c r="C81" s="69"/>
      <c r="D81" s="70"/>
      <c r="E81" s="55"/>
      <c r="J81" s="6"/>
      <c r="K81" s="6"/>
      <c r="L81" s="6"/>
      <c r="M81" s="6"/>
      <c r="N81" s="6"/>
      <c r="O81" s="6"/>
      <c r="P81" s="6"/>
    </row>
    <row r="82" spans="1:16" ht="42.75" customHeight="1" thickBot="1" x14ac:dyDescent="0.6">
      <c r="A82" s="71" t="s">
        <v>13</v>
      </c>
      <c r="B82" s="72"/>
      <c r="C82" s="72"/>
      <c r="D82" s="73"/>
    </row>
    <row r="83" spans="1:16" ht="42.75" customHeight="1" thickBot="1" x14ac:dyDescent="0.6">
      <c r="A83" s="10" t="s">
        <v>15</v>
      </c>
      <c r="B83" s="11"/>
      <c r="C83" s="12" t="s">
        <v>14</v>
      </c>
      <c r="D83" s="11"/>
    </row>
    <row r="84" spans="1:16" ht="42.75" customHeight="1" thickBot="1" x14ac:dyDescent="0.6">
      <c r="A84" s="74" t="s">
        <v>17</v>
      </c>
      <c r="B84" s="15" t="s">
        <v>0</v>
      </c>
      <c r="C84" s="16" t="s">
        <v>16</v>
      </c>
      <c r="D84" s="17"/>
    </row>
    <row r="85" spans="1:16" ht="42.75" customHeight="1" thickBot="1" x14ac:dyDescent="0.6">
      <c r="A85" s="15"/>
      <c r="B85" s="15" t="s">
        <v>1</v>
      </c>
      <c r="C85" s="20" t="s">
        <v>18</v>
      </c>
      <c r="D85" s="21" t="s">
        <v>2</v>
      </c>
    </row>
    <row r="86" spans="1:16" ht="42.75" customHeight="1" thickBot="1" x14ac:dyDescent="0.6">
      <c r="A86" s="23">
        <v>1050</v>
      </c>
      <c r="B86" s="24"/>
      <c r="C86" s="25" t="s">
        <v>3</v>
      </c>
      <c r="D86" s="26"/>
    </row>
    <row r="87" spans="1:16" ht="42.75" customHeight="1" thickBot="1" x14ac:dyDescent="0.6">
      <c r="A87" s="23">
        <v>1100</v>
      </c>
      <c r="B87" s="24"/>
      <c r="C87" s="31" t="s">
        <v>4</v>
      </c>
      <c r="D87" s="32"/>
    </row>
    <row r="88" spans="1:16" ht="42.75" customHeight="1" thickBot="1" x14ac:dyDescent="0.7">
      <c r="A88" s="34">
        <f>A87-A86</f>
        <v>50</v>
      </c>
      <c r="B88" s="35"/>
      <c r="C88" s="36" t="s">
        <v>5</v>
      </c>
      <c r="D88" s="32"/>
    </row>
    <row r="89" spans="1:16" ht="42.75" customHeight="1" thickBot="1" x14ac:dyDescent="0.6">
      <c r="A89" s="38">
        <v>60</v>
      </c>
      <c r="B89" s="39"/>
      <c r="C89" s="31" t="s">
        <v>6</v>
      </c>
      <c r="D89" s="32"/>
    </row>
    <row r="90" spans="1:16" ht="42.75" customHeight="1" thickBot="1" x14ac:dyDescent="0.6">
      <c r="A90" s="40"/>
      <c r="B90" s="41"/>
      <c r="C90" s="31" t="s">
        <v>7</v>
      </c>
      <c r="D90" s="32"/>
    </row>
    <row r="91" spans="1:16" ht="42.75" customHeight="1" thickBot="1" x14ac:dyDescent="0.6">
      <c r="A91" s="42">
        <f>A89*A88</f>
        <v>3000</v>
      </c>
      <c r="B91" s="43"/>
      <c r="C91" s="31" t="s">
        <v>8</v>
      </c>
      <c r="D91" s="32"/>
    </row>
    <row r="92" spans="1:16" ht="42.75" customHeight="1" thickBot="1" x14ac:dyDescent="0.6">
      <c r="A92" s="62" t="s">
        <v>9</v>
      </c>
      <c r="B92" s="63"/>
      <c r="C92" s="63"/>
      <c r="D92" s="64"/>
    </row>
    <row r="93" spans="1:16" ht="42.75" customHeight="1" thickBot="1" x14ac:dyDescent="0.6">
      <c r="A93" s="65" t="s">
        <v>10</v>
      </c>
      <c r="B93" s="66"/>
      <c r="C93" s="66"/>
      <c r="D93" s="67"/>
    </row>
    <row r="94" spans="1:16" ht="42.75" customHeight="1" thickBot="1" x14ac:dyDescent="0.6">
      <c r="A94" s="68" t="s">
        <v>11</v>
      </c>
      <c r="B94" s="69"/>
      <c r="C94" s="69"/>
      <c r="D94" s="70"/>
    </row>
    <row r="95" spans="1:16" ht="42.75" customHeight="1" thickBot="1" x14ac:dyDescent="0.6">
      <c r="A95" s="53"/>
      <c r="B95" s="53"/>
      <c r="C95" s="53"/>
      <c r="D95" s="53"/>
    </row>
    <row r="96" spans="1:16" ht="42.75" customHeight="1" thickBot="1" x14ac:dyDescent="0.6">
      <c r="A96" s="71" t="s">
        <v>13</v>
      </c>
      <c r="B96" s="72"/>
      <c r="C96" s="72"/>
      <c r="D96" s="73"/>
    </row>
    <row r="97" spans="1:4" ht="42.75" customHeight="1" thickBot="1" x14ac:dyDescent="0.6">
      <c r="A97" s="10" t="s">
        <v>15</v>
      </c>
      <c r="B97" s="11"/>
      <c r="C97" s="12" t="s">
        <v>14</v>
      </c>
      <c r="D97" s="11"/>
    </row>
    <row r="98" spans="1:4" ht="42.75" customHeight="1" thickBot="1" x14ac:dyDescent="0.6">
      <c r="A98" s="74" t="s">
        <v>17</v>
      </c>
      <c r="B98" s="15" t="s">
        <v>0</v>
      </c>
      <c r="C98" s="16" t="s">
        <v>16</v>
      </c>
      <c r="D98" s="17"/>
    </row>
    <row r="99" spans="1:4" ht="42.75" customHeight="1" thickBot="1" x14ac:dyDescent="0.6">
      <c r="A99" s="15"/>
      <c r="B99" s="15" t="s">
        <v>1</v>
      </c>
      <c r="C99" s="20" t="s">
        <v>18</v>
      </c>
      <c r="D99" s="21" t="s">
        <v>2</v>
      </c>
    </row>
    <row r="100" spans="1:4" ht="42.75" customHeight="1" thickBot="1" x14ac:dyDescent="0.6">
      <c r="A100" s="23">
        <v>1050</v>
      </c>
      <c r="B100" s="24"/>
      <c r="C100" s="25" t="s">
        <v>3</v>
      </c>
      <c r="D100" s="26"/>
    </row>
    <row r="101" spans="1:4" ht="42.75" customHeight="1" thickBot="1" x14ac:dyDescent="0.6">
      <c r="A101" s="23">
        <v>1100</v>
      </c>
      <c r="B101" s="24"/>
      <c r="C101" s="31" t="s">
        <v>4</v>
      </c>
      <c r="D101" s="32"/>
    </row>
    <row r="102" spans="1:4" ht="42.75" customHeight="1" thickBot="1" x14ac:dyDescent="0.7">
      <c r="A102" s="34">
        <f>A101-A100</f>
        <v>50</v>
      </c>
      <c r="B102" s="35"/>
      <c r="C102" s="36" t="s">
        <v>5</v>
      </c>
      <c r="D102" s="32"/>
    </row>
    <row r="103" spans="1:4" ht="42.75" customHeight="1" thickBot="1" x14ac:dyDescent="0.6">
      <c r="A103" s="38">
        <v>60</v>
      </c>
      <c r="B103" s="39"/>
      <c r="C103" s="31" t="s">
        <v>6</v>
      </c>
      <c r="D103" s="32"/>
    </row>
    <row r="104" spans="1:4" ht="42.75" customHeight="1" thickBot="1" x14ac:dyDescent="0.6">
      <c r="A104" s="40"/>
      <c r="B104" s="41"/>
      <c r="C104" s="31" t="s">
        <v>7</v>
      </c>
      <c r="D104" s="32"/>
    </row>
    <row r="105" spans="1:4" ht="42.75" customHeight="1" thickBot="1" x14ac:dyDescent="0.6">
      <c r="A105" s="42">
        <f>A103*A102</f>
        <v>3000</v>
      </c>
      <c r="B105" s="43"/>
      <c r="C105" s="31" t="s">
        <v>8</v>
      </c>
      <c r="D105" s="32"/>
    </row>
    <row r="106" spans="1:4" ht="42.75" customHeight="1" thickBot="1" x14ac:dyDescent="0.6">
      <c r="A106" s="62" t="s">
        <v>9</v>
      </c>
      <c r="B106" s="63"/>
      <c r="C106" s="63"/>
      <c r="D106" s="64"/>
    </row>
    <row r="107" spans="1:4" ht="42.75" customHeight="1" thickBot="1" x14ac:dyDescent="0.6">
      <c r="A107" s="65" t="s">
        <v>10</v>
      </c>
      <c r="B107" s="66"/>
      <c r="C107" s="66"/>
      <c r="D107" s="67"/>
    </row>
    <row r="108" spans="1:4" ht="42.75" customHeight="1" thickBot="1" x14ac:dyDescent="0.6">
      <c r="A108" s="68" t="s">
        <v>11</v>
      </c>
      <c r="B108" s="69"/>
      <c r="C108" s="69"/>
      <c r="D108" s="70"/>
    </row>
    <row r="109" spans="1:4" ht="42.75" customHeight="1" thickBot="1" x14ac:dyDescent="0.6">
      <c r="A109" s="71" t="s">
        <v>13</v>
      </c>
      <c r="B109" s="72"/>
      <c r="C109" s="72"/>
      <c r="D109" s="73"/>
    </row>
    <row r="110" spans="1:4" ht="42.75" customHeight="1" thickBot="1" x14ac:dyDescent="0.6">
      <c r="A110" s="10" t="s">
        <v>15</v>
      </c>
      <c r="B110" s="11"/>
      <c r="C110" s="12" t="s">
        <v>14</v>
      </c>
      <c r="D110" s="11"/>
    </row>
    <row r="111" spans="1:4" ht="42.75" customHeight="1" thickBot="1" x14ac:dyDescent="0.6">
      <c r="A111" s="74" t="s">
        <v>17</v>
      </c>
      <c r="B111" s="15" t="s">
        <v>0</v>
      </c>
      <c r="C111" s="16" t="s">
        <v>16</v>
      </c>
      <c r="D111" s="17"/>
    </row>
    <row r="112" spans="1:4" ht="42.75" customHeight="1" thickBot="1" x14ac:dyDescent="0.6">
      <c r="A112" s="15"/>
      <c r="B112" s="15" t="s">
        <v>1</v>
      </c>
      <c r="C112" s="20" t="s">
        <v>18</v>
      </c>
      <c r="D112" s="21" t="s">
        <v>2</v>
      </c>
    </row>
    <row r="113" spans="1:4" ht="42.75" customHeight="1" thickBot="1" x14ac:dyDescent="0.6">
      <c r="A113" s="23">
        <v>1050</v>
      </c>
      <c r="B113" s="24"/>
      <c r="C113" s="25" t="s">
        <v>3</v>
      </c>
      <c r="D113" s="26"/>
    </row>
    <row r="114" spans="1:4" ht="42.75" customHeight="1" thickBot="1" x14ac:dyDescent="0.6">
      <c r="A114" s="23">
        <v>1100</v>
      </c>
      <c r="B114" s="24"/>
      <c r="C114" s="31" t="s">
        <v>4</v>
      </c>
      <c r="D114" s="32"/>
    </row>
    <row r="115" spans="1:4" ht="42.75" customHeight="1" thickBot="1" x14ac:dyDescent="0.7">
      <c r="A115" s="34">
        <f>A114-A113</f>
        <v>50</v>
      </c>
      <c r="B115" s="35"/>
      <c r="C115" s="36" t="s">
        <v>5</v>
      </c>
      <c r="D115" s="32"/>
    </row>
    <row r="116" spans="1:4" ht="42.75" customHeight="1" thickBot="1" x14ac:dyDescent="0.6">
      <c r="A116" s="38">
        <v>60</v>
      </c>
      <c r="B116" s="39"/>
      <c r="C116" s="31" t="s">
        <v>6</v>
      </c>
      <c r="D116" s="32"/>
    </row>
    <row r="117" spans="1:4" ht="42.75" customHeight="1" thickBot="1" x14ac:dyDescent="0.6">
      <c r="A117" s="40"/>
      <c r="B117" s="41"/>
      <c r="C117" s="31" t="s">
        <v>7</v>
      </c>
      <c r="D117" s="32"/>
    </row>
    <row r="118" spans="1:4" ht="42.75" customHeight="1" thickBot="1" x14ac:dyDescent="0.6">
      <c r="A118" s="42">
        <f>A116*A115</f>
        <v>3000</v>
      </c>
      <c r="B118" s="43"/>
      <c r="C118" s="31" t="s">
        <v>8</v>
      </c>
      <c r="D118" s="32"/>
    </row>
    <row r="119" spans="1:4" ht="42.75" customHeight="1" thickBot="1" x14ac:dyDescent="0.6">
      <c r="A119" s="62" t="s">
        <v>9</v>
      </c>
      <c r="B119" s="63"/>
      <c r="C119" s="63"/>
      <c r="D119" s="64"/>
    </row>
    <row r="120" spans="1:4" ht="42.75" customHeight="1" thickBot="1" x14ac:dyDescent="0.6">
      <c r="A120" s="65" t="s">
        <v>10</v>
      </c>
      <c r="B120" s="66"/>
      <c r="C120" s="66"/>
      <c r="D120" s="67"/>
    </row>
    <row r="121" spans="1:4" ht="42.75" customHeight="1" thickBot="1" x14ac:dyDescent="0.6">
      <c r="A121" s="68" t="s">
        <v>11</v>
      </c>
      <c r="B121" s="69"/>
      <c r="C121" s="69"/>
      <c r="D121" s="70"/>
    </row>
    <row r="122" spans="1:4" ht="42.75" customHeight="1" thickBot="1" x14ac:dyDescent="0.6">
      <c r="A122" s="53"/>
      <c r="B122" s="53"/>
      <c r="C122" s="53"/>
      <c r="D122" s="53"/>
    </row>
    <row r="123" spans="1:4" ht="42.75" customHeight="1" thickBot="1" x14ac:dyDescent="0.6">
      <c r="A123" s="71" t="s">
        <v>13</v>
      </c>
      <c r="B123" s="72"/>
      <c r="C123" s="72"/>
      <c r="D123" s="73"/>
    </row>
    <row r="124" spans="1:4" ht="42.75" customHeight="1" thickBot="1" x14ac:dyDescent="0.6">
      <c r="A124" s="10" t="s">
        <v>15</v>
      </c>
      <c r="B124" s="11"/>
      <c r="C124" s="12" t="s">
        <v>14</v>
      </c>
      <c r="D124" s="11"/>
    </row>
    <row r="125" spans="1:4" ht="42.75" customHeight="1" thickBot="1" x14ac:dyDescent="0.6">
      <c r="A125" s="74" t="s">
        <v>17</v>
      </c>
      <c r="B125" s="15" t="s">
        <v>0</v>
      </c>
      <c r="C125" s="16" t="s">
        <v>16</v>
      </c>
      <c r="D125" s="17"/>
    </row>
    <row r="126" spans="1:4" ht="42.75" customHeight="1" thickBot="1" x14ac:dyDescent="0.6">
      <c r="A126" s="15"/>
      <c r="B126" s="15" t="s">
        <v>1</v>
      </c>
      <c r="C126" s="20" t="s">
        <v>18</v>
      </c>
      <c r="D126" s="21" t="s">
        <v>2</v>
      </c>
    </row>
    <row r="127" spans="1:4" ht="42.75" customHeight="1" thickBot="1" x14ac:dyDescent="0.6">
      <c r="A127" s="23">
        <v>1050</v>
      </c>
      <c r="B127" s="24"/>
      <c r="C127" s="25" t="s">
        <v>3</v>
      </c>
      <c r="D127" s="26"/>
    </row>
    <row r="128" spans="1:4" ht="42.75" customHeight="1" thickBot="1" x14ac:dyDescent="0.6">
      <c r="A128" s="23">
        <v>1100</v>
      </c>
      <c r="B128" s="24"/>
      <c r="C128" s="31" t="s">
        <v>4</v>
      </c>
      <c r="D128" s="32"/>
    </row>
    <row r="129" spans="1:4" ht="42.75" customHeight="1" thickBot="1" x14ac:dyDescent="0.7">
      <c r="A129" s="34">
        <f>A128-A127</f>
        <v>50</v>
      </c>
      <c r="B129" s="35"/>
      <c r="C129" s="36" t="s">
        <v>5</v>
      </c>
      <c r="D129" s="32"/>
    </row>
    <row r="130" spans="1:4" ht="42.75" customHeight="1" thickBot="1" x14ac:dyDescent="0.6">
      <c r="A130" s="38">
        <v>60</v>
      </c>
      <c r="B130" s="39"/>
      <c r="C130" s="31" t="s">
        <v>6</v>
      </c>
      <c r="D130" s="32"/>
    </row>
    <row r="131" spans="1:4" ht="42.75" customHeight="1" thickBot="1" x14ac:dyDescent="0.6">
      <c r="A131" s="40"/>
      <c r="B131" s="41"/>
      <c r="C131" s="31" t="s">
        <v>7</v>
      </c>
      <c r="D131" s="32"/>
    </row>
    <row r="132" spans="1:4" ht="42.75" customHeight="1" thickBot="1" x14ac:dyDescent="0.6">
      <c r="A132" s="42">
        <f>A130*A129</f>
        <v>3000</v>
      </c>
      <c r="B132" s="43"/>
      <c r="C132" s="31" t="s">
        <v>8</v>
      </c>
      <c r="D132" s="32"/>
    </row>
    <row r="133" spans="1:4" ht="42.75" customHeight="1" thickBot="1" x14ac:dyDescent="0.6">
      <c r="A133" s="62" t="s">
        <v>9</v>
      </c>
      <c r="B133" s="63"/>
      <c r="C133" s="63"/>
      <c r="D133" s="64"/>
    </row>
    <row r="134" spans="1:4" ht="42.75" customHeight="1" thickBot="1" x14ac:dyDescent="0.6">
      <c r="A134" s="65" t="s">
        <v>10</v>
      </c>
      <c r="B134" s="66"/>
      <c r="C134" s="66"/>
      <c r="D134" s="67"/>
    </row>
    <row r="135" spans="1:4" ht="42.75" customHeight="1" thickBot="1" x14ac:dyDescent="0.6">
      <c r="A135" s="68" t="s">
        <v>11</v>
      </c>
      <c r="B135" s="69"/>
      <c r="C135" s="69"/>
      <c r="D135" s="70"/>
    </row>
    <row r="136" spans="1:4" ht="42.75" customHeight="1" thickBot="1" x14ac:dyDescent="0.6">
      <c r="A136" s="71" t="s">
        <v>13</v>
      </c>
      <c r="B136" s="72"/>
      <c r="C136" s="72"/>
      <c r="D136" s="73"/>
    </row>
    <row r="137" spans="1:4" ht="42.75" customHeight="1" thickBot="1" x14ac:dyDescent="0.6">
      <c r="A137" s="10" t="s">
        <v>15</v>
      </c>
      <c r="B137" s="11"/>
      <c r="C137" s="12" t="s">
        <v>14</v>
      </c>
      <c r="D137" s="11"/>
    </row>
    <row r="138" spans="1:4" ht="42.75" customHeight="1" thickBot="1" x14ac:dyDescent="0.6">
      <c r="A138" s="74" t="s">
        <v>17</v>
      </c>
      <c r="B138" s="15" t="s">
        <v>0</v>
      </c>
      <c r="C138" s="16" t="s">
        <v>16</v>
      </c>
      <c r="D138" s="17"/>
    </row>
    <row r="139" spans="1:4" ht="42.75" customHeight="1" thickBot="1" x14ac:dyDescent="0.6">
      <c r="A139" s="15"/>
      <c r="B139" s="15" t="s">
        <v>1</v>
      </c>
      <c r="C139" s="20" t="s">
        <v>18</v>
      </c>
      <c r="D139" s="21" t="s">
        <v>2</v>
      </c>
    </row>
    <row r="140" spans="1:4" ht="42.75" customHeight="1" thickBot="1" x14ac:dyDescent="0.6">
      <c r="A140" s="23">
        <v>1050</v>
      </c>
      <c r="B140" s="24"/>
      <c r="C140" s="25" t="s">
        <v>3</v>
      </c>
      <c r="D140" s="26"/>
    </row>
    <row r="141" spans="1:4" ht="42.75" customHeight="1" thickBot="1" x14ac:dyDescent="0.6">
      <c r="A141" s="23">
        <v>1100</v>
      </c>
      <c r="B141" s="24"/>
      <c r="C141" s="31" t="s">
        <v>4</v>
      </c>
      <c r="D141" s="32"/>
    </row>
    <row r="142" spans="1:4" ht="42.75" customHeight="1" thickBot="1" x14ac:dyDescent="0.7">
      <c r="A142" s="34">
        <f>A141-A140</f>
        <v>50</v>
      </c>
      <c r="B142" s="35"/>
      <c r="C142" s="36" t="s">
        <v>5</v>
      </c>
      <c r="D142" s="32"/>
    </row>
    <row r="143" spans="1:4" ht="42.75" customHeight="1" thickBot="1" x14ac:dyDescent="0.6">
      <c r="A143" s="38">
        <v>60</v>
      </c>
      <c r="B143" s="39"/>
      <c r="C143" s="31" t="s">
        <v>6</v>
      </c>
      <c r="D143" s="32"/>
    </row>
    <row r="144" spans="1:4" ht="42.75" customHeight="1" thickBot="1" x14ac:dyDescent="0.6">
      <c r="A144" s="40"/>
      <c r="B144" s="41"/>
      <c r="C144" s="31" t="s">
        <v>7</v>
      </c>
      <c r="D144" s="32"/>
    </row>
    <row r="145" spans="1:4" ht="42.75" customHeight="1" thickBot="1" x14ac:dyDescent="0.6">
      <c r="A145" s="42">
        <f>A143*A142</f>
        <v>3000</v>
      </c>
      <c r="B145" s="43"/>
      <c r="C145" s="31" t="s">
        <v>8</v>
      </c>
      <c r="D145" s="32"/>
    </row>
    <row r="146" spans="1:4" ht="42.75" customHeight="1" thickBot="1" x14ac:dyDescent="0.6">
      <c r="A146" s="62" t="s">
        <v>9</v>
      </c>
      <c r="B146" s="63"/>
      <c r="C146" s="63"/>
      <c r="D146" s="64"/>
    </row>
    <row r="147" spans="1:4" ht="42.75" customHeight="1" thickBot="1" x14ac:dyDescent="0.6">
      <c r="A147" s="65" t="s">
        <v>10</v>
      </c>
      <c r="B147" s="66"/>
      <c r="C147" s="66"/>
      <c r="D147" s="67"/>
    </row>
    <row r="148" spans="1:4" ht="42.75" customHeight="1" thickBot="1" x14ac:dyDescent="0.6">
      <c r="A148" s="68" t="s">
        <v>11</v>
      </c>
      <c r="B148" s="69"/>
      <c r="C148" s="69"/>
      <c r="D148" s="70"/>
    </row>
    <row r="149" spans="1:4" ht="42.75" customHeight="1" thickBot="1" x14ac:dyDescent="0.6">
      <c r="A149" s="53"/>
      <c r="B149" s="53"/>
      <c r="C149" s="53"/>
      <c r="D149" s="53"/>
    </row>
    <row r="150" spans="1:4" ht="42.75" customHeight="1" thickBot="1" x14ac:dyDescent="0.6">
      <c r="A150" s="71" t="s">
        <v>13</v>
      </c>
      <c r="B150" s="72"/>
      <c r="C150" s="72"/>
      <c r="D150" s="73"/>
    </row>
    <row r="151" spans="1:4" ht="42.75" customHeight="1" thickBot="1" x14ac:dyDescent="0.6">
      <c r="A151" s="10" t="s">
        <v>15</v>
      </c>
      <c r="B151" s="11"/>
      <c r="C151" s="12" t="s">
        <v>14</v>
      </c>
      <c r="D151" s="11"/>
    </row>
    <row r="152" spans="1:4" ht="42.75" customHeight="1" thickBot="1" x14ac:dyDescent="0.6">
      <c r="A152" s="74" t="s">
        <v>17</v>
      </c>
      <c r="B152" s="15" t="s">
        <v>0</v>
      </c>
      <c r="C152" s="16" t="s">
        <v>16</v>
      </c>
      <c r="D152" s="17"/>
    </row>
    <row r="153" spans="1:4" ht="42.75" customHeight="1" thickBot="1" x14ac:dyDescent="0.6">
      <c r="A153" s="15"/>
      <c r="B153" s="15" t="s">
        <v>1</v>
      </c>
      <c r="C153" s="20" t="s">
        <v>18</v>
      </c>
      <c r="D153" s="21" t="s">
        <v>2</v>
      </c>
    </row>
    <row r="154" spans="1:4" ht="42.75" customHeight="1" thickBot="1" x14ac:dyDescent="0.6">
      <c r="A154" s="23">
        <v>1050</v>
      </c>
      <c r="B154" s="24"/>
      <c r="C154" s="25" t="s">
        <v>3</v>
      </c>
      <c r="D154" s="26"/>
    </row>
    <row r="155" spans="1:4" ht="42.75" customHeight="1" thickBot="1" x14ac:dyDescent="0.6">
      <c r="A155" s="23">
        <v>1100</v>
      </c>
      <c r="B155" s="24"/>
      <c r="C155" s="31" t="s">
        <v>4</v>
      </c>
      <c r="D155" s="32"/>
    </row>
    <row r="156" spans="1:4" ht="42.75" customHeight="1" thickBot="1" x14ac:dyDescent="0.7">
      <c r="A156" s="34">
        <f>A155-A154</f>
        <v>50</v>
      </c>
      <c r="B156" s="35"/>
      <c r="C156" s="36" t="s">
        <v>5</v>
      </c>
      <c r="D156" s="32"/>
    </row>
    <row r="157" spans="1:4" ht="42.75" customHeight="1" thickBot="1" x14ac:dyDescent="0.6">
      <c r="A157" s="38">
        <v>60</v>
      </c>
      <c r="B157" s="39"/>
      <c r="C157" s="31" t="s">
        <v>6</v>
      </c>
      <c r="D157" s="32"/>
    </row>
    <row r="158" spans="1:4" ht="42.75" customHeight="1" thickBot="1" x14ac:dyDescent="0.6">
      <c r="A158" s="40"/>
      <c r="B158" s="41"/>
      <c r="C158" s="31" t="s">
        <v>7</v>
      </c>
      <c r="D158" s="32"/>
    </row>
    <row r="159" spans="1:4" ht="42.75" customHeight="1" thickBot="1" x14ac:dyDescent="0.6">
      <c r="A159" s="42">
        <f>A157*A156</f>
        <v>3000</v>
      </c>
      <c r="B159" s="43"/>
      <c r="C159" s="31" t="s">
        <v>8</v>
      </c>
      <c r="D159" s="32"/>
    </row>
    <row r="160" spans="1:4" ht="42.75" customHeight="1" thickBot="1" x14ac:dyDescent="0.6">
      <c r="A160" s="62" t="s">
        <v>9</v>
      </c>
      <c r="B160" s="63"/>
      <c r="C160" s="63"/>
      <c r="D160" s="64"/>
    </row>
    <row r="161" spans="1:4" ht="42.75" customHeight="1" thickBot="1" x14ac:dyDescent="0.6">
      <c r="A161" s="65" t="s">
        <v>10</v>
      </c>
      <c r="B161" s="66"/>
      <c r="C161" s="66"/>
      <c r="D161" s="67"/>
    </row>
    <row r="162" spans="1:4" ht="42.75" customHeight="1" thickBot="1" x14ac:dyDescent="0.6">
      <c r="A162" s="68" t="s">
        <v>11</v>
      </c>
      <c r="B162" s="69"/>
      <c r="C162" s="69"/>
      <c r="D162" s="70"/>
    </row>
    <row r="163" spans="1:4" ht="42.75" customHeight="1" thickBot="1" x14ac:dyDescent="0.6">
      <c r="A163" s="71" t="s">
        <v>13</v>
      </c>
      <c r="B163" s="72"/>
      <c r="C163" s="72"/>
      <c r="D163" s="73"/>
    </row>
    <row r="164" spans="1:4" ht="42.75" customHeight="1" thickBot="1" x14ac:dyDescent="0.6">
      <c r="A164" s="10" t="s">
        <v>15</v>
      </c>
      <c r="B164" s="11"/>
      <c r="C164" s="12" t="s">
        <v>14</v>
      </c>
      <c r="D164" s="11"/>
    </row>
    <row r="165" spans="1:4" ht="42.75" customHeight="1" thickBot="1" x14ac:dyDescent="0.6">
      <c r="A165" s="74" t="s">
        <v>17</v>
      </c>
      <c r="B165" s="15" t="s">
        <v>0</v>
      </c>
      <c r="C165" s="16" t="s">
        <v>16</v>
      </c>
      <c r="D165" s="17"/>
    </row>
    <row r="166" spans="1:4" ht="42.75" customHeight="1" thickBot="1" x14ac:dyDescent="0.6">
      <c r="A166" s="15"/>
      <c r="B166" s="15" t="s">
        <v>1</v>
      </c>
      <c r="C166" s="20" t="s">
        <v>18</v>
      </c>
      <c r="D166" s="21" t="s">
        <v>2</v>
      </c>
    </row>
    <row r="167" spans="1:4" ht="42.75" customHeight="1" thickBot="1" x14ac:dyDescent="0.6">
      <c r="A167" s="23">
        <v>1050</v>
      </c>
      <c r="B167" s="24"/>
      <c r="C167" s="25" t="s">
        <v>3</v>
      </c>
      <c r="D167" s="26"/>
    </row>
    <row r="168" spans="1:4" ht="42.75" customHeight="1" thickBot="1" x14ac:dyDescent="0.6">
      <c r="A168" s="23">
        <v>1100</v>
      </c>
      <c r="B168" s="24"/>
      <c r="C168" s="31" t="s">
        <v>4</v>
      </c>
      <c r="D168" s="32"/>
    </row>
    <row r="169" spans="1:4" ht="42.75" customHeight="1" thickBot="1" x14ac:dyDescent="0.7">
      <c r="A169" s="34">
        <f>A168-A167</f>
        <v>50</v>
      </c>
      <c r="B169" s="35"/>
      <c r="C169" s="36" t="s">
        <v>5</v>
      </c>
      <c r="D169" s="32"/>
    </row>
    <row r="170" spans="1:4" ht="42.75" customHeight="1" thickBot="1" x14ac:dyDescent="0.6">
      <c r="A170" s="38">
        <v>60</v>
      </c>
      <c r="B170" s="39"/>
      <c r="C170" s="31" t="s">
        <v>6</v>
      </c>
      <c r="D170" s="32"/>
    </row>
    <row r="171" spans="1:4" ht="42.75" customHeight="1" thickBot="1" x14ac:dyDescent="0.6">
      <c r="A171" s="40"/>
      <c r="B171" s="41"/>
      <c r="C171" s="31" t="s">
        <v>7</v>
      </c>
      <c r="D171" s="32"/>
    </row>
    <row r="172" spans="1:4" ht="42.75" customHeight="1" thickBot="1" x14ac:dyDescent="0.6">
      <c r="A172" s="42">
        <f>A170*A169</f>
        <v>3000</v>
      </c>
      <c r="B172" s="43"/>
      <c r="C172" s="31" t="s">
        <v>8</v>
      </c>
      <c r="D172" s="32"/>
    </row>
    <row r="173" spans="1:4" ht="42.75" customHeight="1" thickBot="1" x14ac:dyDescent="0.6">
      <c r="A173" s="62" t="s">
        <v>9</v>
      </c>
      <c r="B173" s="63"/>
      <c r="C173" s="63"/>
      <c r="D173" s="64"/>
    </row>
    <row r="174" spans="1:4" ht="42.75" customHeight="1" thickBot="1" x14ac:dyDescent="0.6">
      <c r="A174" s="65" t="s">
        <v>10</v>
      </c>
      <c r="B174" s="66"/>
      <c r="C174" s="66"/>
      <c r="D174" s="67"/>
    </row>
    <row r="175" spans="1:4" ht="42.75" customHeight="1" thickBot="1" x14ac:dyDescent="0.6">
      <c r="A175" s="68" t="s">
        <v>11</v>
      </c>
      <c r="B175" s="69"/>
      <c r="C175" s="69"/>
      <c r="D175" s="70"/>
    </row>
    <row r="176" spans="1:4" ht="42.75" customHeight="1" thickBot="1" x14ac:dyDescent="0.6">
      <c r="A176" s="53"/>
      <c r="B176" s="53"/>
      <c r="C176" s="53"/>
      <c r="D176" s="53"/>
    </row>
    <row r="177" spans="1:4" ht="42.75" customHeight="1" thickBot="1" x14ac:dyDescent="0.6">
      <c r="A177" s="71" t="s">
        <v>13</v>
      </c>
      <c r="B177" s="72"/>
      <c r="C177" s="72"/>
      <c r="D177" s="73"/>
    </row>
    <row r="178" spans="1:4" ht="42.75" customHeight="1" thickBot="1" x14ac:dyDescent="0.6">
      <c r="A178" s="10" t="s">
        <v>15</v>
      </c>
      <c r="B178" s="11"/>
      <c r="C178" s="12" t="s">
        <v>14</v>
      </c>
      <c r="D178" s="11"/>
    </row>
    <row r="179" spans="1:4" ht="42.75" customHeight="1" thickBot="1" x14ac:dyDescent="0.6">
      <c r="A179" s="74" t="s">
        <v>17</v>
      </c>
      <c r="B179" s="15" t="s">
        <v>0</v>
      </c>
      <c r="C179" s="16" t="s">
        <v>16</v>
      </c>
      <c r="D179" s="17"/>
    </row>
    <row r="180" spans="1:4" ht="42.75" customHeight="1" thickBot="1" x14ac:dyDescent="0.6">
      <c r="A180" s="15"/>
      <c r="B180" s="15" t="s">
        <v>1</v>
      </c>
      <c r="C180" s="20" t="s">
        <v>18</v>
      </c>
      <c r="D180" s="21" t="s">
        <v>2</v>
      </c>
    </row>
    <row r="181" spans="1:4" ht="42.75" customHeight="1" thickBot="1" x14ac:dyDescent="0.6">
      <c r="A181" s="23">
        <v>1050</v>
      </c>
      <c r="B181" s="24"/>
      <c r="C181" s="25" t="s">
        <v>3</v>
      </c>
      <c r="D181" s="26"/>
    </row>
    <row r="182" spans="1:4" ht="42.75" customHeight="1" thickBot="1" x14ac:dyDescent="0.6">
      <c r="A182" s="23">
        <v>1100</v>
      </c>
      <c r="B182" s="24"/>
      <c r="C182" s="31" t="s">
        <v>4</v>
      </c>
      <c r="D182" s="32"/>
    </row>
    <row r="183" spans="1:4" ht="42.75" customHeight="1" thickBot="1" x14ac:dyDescent="0.7">
      <c r="A183" s="34">
        <f>A182-A181</f>
        <v>50</v>
      </c>
      <c r="B183" s="35"/>
      <c r="C183" s="36" t="s">
        <v>5</v>
      </c>
      <c r="D183" s="32"/>
    </row>
    <row r="184" spans="1:4" ht="42.75" customHeight="1" thickBot="1" x14ac:dyDescent="0.6">
      <c r="A184" s="38">
        <v>60</v>
      </c>
      <c r="B184" s="39"/>
      <c r="C184" s="31" t="s">
        <v>6</v>
      </c>
      <c r="D184" s="32"/>
    </row>
    <row r="185" spans="1:4" ht="42.75" customHeight="1" thickBot="1" x14ac:dyDescent="0.6">
      <c r="A185" s="40"/>
      <c r="B185" s="41"/>
      <c r="C185" s="31" t="s">
        <v>7</v>
      </c>
      <c r="D185" s="32"/>
    </row>
    <row r="186" spans="1:4" ht="42.75" customHeight="1" thickBot="1" x14ac:dyDescent="0.6">
      <c r="A186" s="42">
        <f>A184*A183</f>
        <v>3000</v>
      </c>
      <c r="B186" s="43"/>
      <c r="C186" s="31" t="s">
        <v>8</v>
      </c>
      <c r="D186" s="32"/>
    </row>
    <row r="187" spans="1:4" ht="42.75" customHeight="1" thickBot="1" x14ac:dyDescent="0.6">
      <c r="A187" s="62" t="s">
        <v>9</v>
      </c>
      <c r="B187" s="63"/>
      <c r="C187" s="63"/>
      <c r="D187" s="64"/>
    </row>
    <row r="188" spans="1:4" ht="42.75" customHeight="1" thickBot="1" x14ac:dyDescent="0.6">
      <c r="A188" s="65" t="s">
        <v>10</v>
      </c>
      <c r="B188" s="66"/>
      <c r="C188" s="66"/>
      <c r="D188" s="67"/>
    </row>
    <row r="189" spans="1:4" ht="42.75" customHeight="1" thickBot="1" x14ac:dyDescent="0.6">
      <c r="A189" s="68" t="s">
        <v>11</v>
      </c>
      <c r="B189" s="69"/>
      <c r="C189" s="69"/>
      <c r="D189" s="70"/>
    </row>
    <row r="190" spans="1:4" ht="42.75" customHeight="1" thickBot="1" x14ac:dyDescent="0.6">
      <c r="A190" s="71" t="s">
        <v>13</v>
      </c>
      <c r="B190" s="72"/>
      <c r="C190" s="72"/>
      <c r="D190" s="73"/>
    </row>
    <row r="191" spans="1:4" ht="42.75" customHeight="1" thickBot="1" x14ac:dyDescent="0.6">
      <c r="A191" s="10" t="s">
        <v>15</v>
      </c>
      <c r="B191" s="11"/>
      <c r="C191" s="12" t="s">
        <v>14</v>
      </c>
      <c r="D191" s="11"/>
    </row>
    <row r="192" spans="1:4" ht="42.75" customHeight="1" thickBot="1" x14ac:dyDescent="0.6">
      <c r="A192" s="74" t="s">
        <v>17</v>
      </c>
      <c r="B192" s="15" t="s">
        <v>0</v>
      </c>
      <c r="C192" s="16" t="s">
        <v>16</v>
      </c>
      <c r="D192" s="17"/>
    </row>
    <row r="193" spans="1:4" ht="42.75" customHeight="1" thickBot="1" x14ac:dyDescent="0.6">
      <c r="A193" s="15"/>
      <c r="B193" s="15" t="s">
        <v>1</v>
      </c>
      <c r="C193" s="20" t="s">
        <v>18</v>
      </c>
      <c r="D193" s="21" t="s">
        <v>2</v>
      </c>
    </row>
    <row r="194" spans="1:4" ht="42.75" customHeight="1" thickBot="1" x14ac:dyDescent="0.6">
      <c r="A194" s="23">
        <v>1050</v>
      </c>
      <c r="B194" s="24"/>
      <c r="C194" s="25" t="s">
        <v>3</v>
      </c>
      <c r="D194" s="26"/>
    </row>
    <row r="195" spans="1:4" ht="42.75" customHeight="1" thickBot="1" x14ac:dyDescent="0.6">
      <c r="A195" s="23">
        <v>1100</v>
      </c>
      <c r="B195" s="24"/>
      <c r="C195" s="31" t="s">
        <v>4</v>
      </c>
      <c r="D195" s="32"/>
    </row>
    <row r="196" spans="1:4" ht="42.75" customHeight="1" thickBot="1" x14ac:dyDescent="0.7">
      <c r="A196" s="34">
        <f>A195-A194</f>
        <v>50</v>
      </c>
      <c r="B196" s="35"/>
      <c r="C196" s="36" t="s">
        <v>5</v>
      </c>
      <c r="D196" s="32"/>
    </row>
    <row r="197" spans="1:4" ht="42.75" customHeight="1" thickBot="1" x14ac:dyDescent="0.6">
      <c r="A197" s="38">
        <v>60</v>
      </c>
      <c r="B197" s="39"/>
      <c r="C197" s="31" t="s">
        <v>6</v>
      </c>
      <c r="D197" s="32"/>
    </row>
    <row r="198" spans="1:4" ht="42.75" customHeight="1" thickBot="1" x14ac:dyDescent="0.6">
      <c r="A198" s="40"/>
      <c r="B198" s="41"/>
      <c r="C198" s="31" t="s">
        <v>7</v>
      </c>
      <c r="D198" s="32"/>
    </row>
    <row r="199" spans="1:4" ht="42.75" customHeight="1" thickBot="1" x14ac:dyDescent="0.6">
      <c r="A199" s="42">
        <f>A197*A196</f>
        <v>3000</v>
      </c>
      <c r="B199" s="43"/>
      <c r="C199" s="31" t="s">
        <v>8</v>
      </c>
      <c r="D199" s="32"/>
    </row>
    <row r="200" spans="1:4" ht="42.75" customHeight="1" thickBot="1" x14ac:dyDescent="0.6">
      <c r="A200" s="62" t="s">
        <v>9</v>
      </c>
      <c r="B200" s="63"/>
      <c r="C200" s="63"/>
      <c r="D200" s="64"/>
    </row>
    <row r="201" spans="1:4" ht="42.75" customHeight="1" thickBot="1" x14ac:dyDescent="0.6">
      <c r="A201" s="65" t="s">
        <v>10</v>
      </c>
      <c r="B201" s="66"/>
      <c r="C201" s="66"/>
      <c r="D201" s="67"/>
    </row>
    <row r="202" spans="1:4" ht="42.75" customHeight="1" thickBot="1" x14ac:dyDescent="0.6">
      <c r="A202" s="68" t="s">
        <v>11</v>
      </c>
      <c r="B202" s="69"/>
      <c r="C202" s="69"/>
      <c r="D202" s="70"/>
    </row>
    <row r="203" spans="1:4" ht="42.75" customHeight="1" thickBot="1" x14ac:dyDescent="0.6">
      <c r="A203" s="53"/>
      <c r="B203" s="53"/>
      <c r="C203" s="53"/>
      <c r="D203" s="53"/>
    </row>
    <row r="204" spans="1:4" ht="42.75" customHeight="1" thickBot="1" x14ac:dyDescent="0.6">
      <c r="A204" s="71" t="s">
        <v>13</v>
      </c>
      <c r="B204" s="72"/>
      <c r="C204" s="72"/>
      <c r="D204" s="73"/>
    </row>
    <row r="205" spans="1:4" ht="42.75" customHeight="1" thickBot="1" x14ac:dyDescent="0.6">
      <c r="A205" s="10" t="s">
        <v>15</v>
      </c>
      <c r="B205" s="11"/>
      <c r="C205" s="12" t="s">
        <v>14</v>
      </c>
      <c r="D205" s="11"/>
    </row>
    <row r="206" spans="1:4" ht="42.75" customHeight="1" thickBot="1" x14ac:dyDescent="0.6">
      <c r="A206" s="74" t="s">
        <v>17</v>
      </c>
      <c r="B206" s="15" t="s">
        <v>0</v>
      </c>
      <c r="C206" s="16" t="s">
        <v>16</v>
      </c>
      <c r="D206" s="17"/>
    </row>
    <row r="207" spans="1:4" ht="42.75" customHeight="1" thickBot="1" x14ac:dyDescent="0.6">
      <c r="A207" s="15"/>
      <c r="B207" s="15" t="s">
        <v>1</v>
      </c>
      <c r="C207" s="20" t="s">
        <v>18</v>
      </c>
      <c r="D207" s="21" t="s">
        <v>2</v>
      </c>
    </row>
    <row r="208" spans="1:4" ht="42.75" customHeight="1" thickBot="1" x14ac:dyDescent="0.6">
      <c r="A208" s="23">
        <v>1050</v>
      </c>
      <c r="B208" s="24"/>
      <c r="C208" s="25" t="s">
        <v>3</v>
      </c>
      <c r="D208" s="26"/>
    </row>
    <row r="209" spans="1:4" ht="42.75" customHeight="1" thickBot="1" x14ac:dyDescent="0.6">
      <c r="A209" s="23">
        <v>1100</v>
      </c>
      <c r="B209" s="24"/>
      <c r="C209" s="31" t="s">
        <v>4</v>
      </c>
      <c r="D209" s="32"/>
    </row>
    <row r="210" spans="1:4" ht="42.75" customHeight="1" thickBot="1" x14ac:dyDescent="0.7">
      <c r="A210" s="34">
        <f>A209-A208</f>
        <v>50</v>
      </c>
      <c r="B210" s="35"/>
      <c r="C210" s="36" t="s">
        <v>5</v>
      </c>
      <c r="D210" s="32"/>
    </row>
    <row r="211" spans="1:4" ht="42.75" customHeight="1" thickBot="1" x14ac:dyDescent="0.6">
      <c r="A211" s="38">
        <v>60</v>
      </c>
      <c r="B211" s="39"/>
      <c r="C211" s="31" t="s">
        <v>6</v>
      </c>
      <c r="D211" s="32"/>
    </row>
    <row r="212" spans="1:4" ht="42.75" customHeight="1" thickBot="1" x14ac:dyDescent="0.6">
      <c r="A212" s="40"/>
      <c r="B212" s="41"/>
      <c r="C212" s="31" t="s">
        <v>7</v>
      </c>
      <c r="D212" s="32"/>
    </row>
    <row r="213" spans="1:4" ht="42.75" customHeight="1" thickBot="1" x14ac:dyDescent="0.6">
      <c r="A213" s="42">
        <f>A211*A210</f>
        <v>3000</v>
      </c>
      <c r="B213" s="43"/>
      <c r="C213" s="31" t="s">
        <v>8</v>
      </c>
      <c r="D213" s="32"/>
    </row>
    <row r="214" spans="1:4" ht="42.75" customHeight="1" thickBot="1" x14ac:dyDescent="0.6">
      <c r="A214" s="62" t="s">
        <v>9</v>
      </c>
      <c r="B214" s="63"/>
      <c r="C214" s="63"/>
      <c r="D214" s="64"/>
    </row>
    <row r="215" spans="1:4" ht="42.75" customHeight="1" thickBot="1" x14ac:dyDescent="0.6">
      <c r="A215" s="65" t="s">
        <v>10</v>
      </c>
      <c r="B215" s="66"/>
      <c r="C215" s="66"/>
      <c r="D215" s="67"/>
    </row>
    <row r="216" spans="1:4" ht="42.75" customHeight="1" thickBot="1" x14ac:dyDescent="0.6">
      <c r="A216" s="68" t="s">
        <v>11</v>
      </c>
      <c r="B216" s="69"/>
      <c r="C216" s="69"/>
      <c r="D216" s="70"/>
    </row>
    <row r="217" spans="1:4" ht="42.75" customHeight="1" thickBot="1" x14ac:dyDescent="0.6">
      <c r="A217" s="71" t="s">
        <v>13</v>
      </c>
      <c r="B217" s="72"/>
      <c r="C217" s="72"/>
      <c r="D217" s="73"/>
    </row>
    <row r="218" spans="1:4" ht="42.75" customHeight="1" thickBot="1" x14ac:dyDescent="0.6">
      <c r="A218" s="10" t="s">
        <v>15</v>
      </c>
      <c r="B218" s="11"/>
      <c r="C218" s="12" t="s">
        <v>14</v>
      </c>
      <c r="D218" s="11"/>
    </row>
    <row r="219" spans="1:4" ht="42.75" customHeight="1" thickBot="1" x14ac:dyDescent="0.6">
      <c r="A219" s="74" t="s">
        <v>17</v>
      </c>
      <c r="B219" s="15" t="s">
        <v>0</v>
      </c>
      <c r="C219" s="16" t="s">
        <v>16</v>
      </c>
      <c r="D219" s="17"/>
    </row>
    <row r="220" spans="1:4" ht="42.75" customHeight="1" thickBot="1" x14ac:dyDescent="0.6">
      <c r="A220" s="15"/>
      <c r="B220" s="15" t="s">
        <v>1</v>
      </c>
      <c r="C220" s="20" t="s">
        <v>18</v>
      </c>
      <c r="D220" s="21" t="s">
        <v>2</v>
      </c>
    </row>
    <row r="221" spans="1:4" ht="42.75" customHeight="1" thickBot="1" x14ac:dyDescent="0.6">
      <c r="A221" s="23">
        <v>1050</v>
      </c>
      <c r="B221" s="24"/>
      <c r="C221" s="25" t="s">
        <v>3</v>
      </c>
      <c r="D221" s="26"/>
    </row>
    <row r="222" spans="1:4" ht="42.75" customHeight="1" thickBot="1" x14ac:dyDescent="0.6">
      <c r="A222" s="23">
        <v>1100</v>
      </c>
      <c r="B222" s="24"/>
      <c r="C222" s="31" t="s">
        <v>4</v>
      </c>
      <c r="D222" s="32"/>
    </row>
    <row r="223" spans="1:4" ht="42.75" customHeight="1" thickBot="1" x14ac:dyDescent="0.7">
      <c r="A223" s="34">
        <f>A222-A221</f>
        <v>50</v>
      </c>
      <c r="B223" s="35"/>
      <c r="C223" s="36" t="s">
        <v>5</v>
      </c>
      <c r="D223" s="32"/>
    </row>
    <row r="224" spans="1:4" ht="42.75" customHeight="1" thickBot="1" x14ac:dyDescent="0.6">
      <c r="A224" s="38">
        <v>60</v>
      </c>
      <c r="B224" s="39"/>
      <c r="C224" s="31" t="s">
        <v>6</v>
      </c>
      <c r="D224" s="32"/>
    </row>
    <row r="225" spans="1:4" ht="42.75" customHeight="1" thickBot="1" x14ac:dyDescent="0.6">
      <c r="A225" s="40"/>
      <c r="B225" s="41"/>
      <c r="C225" s="31" t="s">
        <v>7</v>
      </c>
      <c r="D225" s="32"/>
    </row>
    <row r="226" spans="1:4" ht="42.75" customHeight="1" thickBot="1" x14ac:dyDescent="0.6">
      <c r="A226" s="42">
        <f>A224*A223</f>
        <v>3000</v>
      </c>
      <c r="B226" s="43"/>
      <c r="C226" s="31" t="s">
        <v>8</v>
      </c>
      <c r="D226" s="32"/>
    </row>
    <row r="227" spans="1:4" ht="42.75" customHeight="1" thickBot="1" x14ac:dyDescent="0.6">
      <c r="A227" s="62" t="s">
        <v>9</v>
      </c>
      <c r="B227" s="63"/>
      <c r="C227" s="63"/>
      <c r="D227" s="64"/>
    </row>
    <row r="228" spans="1:4" ht="42.75" customHeight="1" thickBot="1" x14ac:dyDescent="0.6">
      <c r="A228" s="65" t="s">
        <v>10</v>
      </c>
      <c r="B228" s="66"/>
      <c r="C228" s="66"/>
      <c r="D228" s="67"/>
    </row>
    <row r="229" spans="1:4" ht="42.75" customHeight="1" thickBot="1" x14ac:dyDescent="0.6">
      <c r="A229" s="68" t="s">
        <v>11</v>
      </c>
      <c r="B229" s="69"/>
      <c r="C229" s="69"/>
      <c r="D229" s="70"/>
    </row>
    <row r="230" spans="1:4" ht="42.75" customHeight="1" thickBot="1" x14ac:dyDescent="0.6">
      <c r="A230" s="53"/>
      <c r="B230" s="53"/>
      <c r="C230" s="53"/>
      <c r="D230" s="53"/>
    </row>
    <row r="231" spans="1:4" ht="42.75" customHeight="1" thickBot="1" x14ac:dyDescent="0.6">
      <c r="A231" s="71" t="s">
        <v>13</v>
      </c>
      <c r="B231" s="72"/>
      <c r="C231" s="72"/>
      <c r="D231" s="73"/>
    </row>
    <row r="232" spans="1:4" ht="42.75" customHeight="1" thickBot="1" x14ac:dyDescent="0.6">
      <c r="A232" s="10" t="s">
        <v>15</v>
      </c>
      <c r="B232" s="11"/>
      <c r="C232" s="12" t="s">
        <v>14</v>
      </c>
      <c r="D232" s="11"/>
    </row>
    <row r="233" spans="1:4" ht="42.75" customHeight="1" thickBot="1" x14ac:dyDescent="0.6">
      <c r="A233" s="74" t="s">
        <v>17</v>
      </c>
      <c r="B233" s="15" t="s">
        <v>0</v>
      </c>
      <c r="C233" s="16" t="s">
        <v>16</v>
      </c>
      <c r="D233" s="17"/>
    </row>
    <row r="234" spans="1:4" ht="42.75" customHeight="1" thickBot="1" x14ac:dyDescent="0.6">
      <c r="A234" s="15"/>
      <c r="B234" s="15" t="s">
        <v>1</v>
      </c>
      <c r="C234" s="20" t="s">
        <v>18</v>
      </c>
      <c r="D234" s="21" t="s">
        <v>2</v>
      </c>
    </row>
    <row r="235" spans="1:4" ht="42.75" customHeight="1" thickBot="1" x14ac:dyDescent="0.6">
      <c r="A235" s="23">
        <v>1050</v>
      </c>
      <c r="B235" s="24"/>
      <c r="C235" s="25" t="s">
        <v>3</v>
      </c>
      <c r="D235" s="26"/>
    </row>
    <row r="236" spans="1:4" ht="42.75" customHeight="1" thickBot="1" x14ac:dyDescent="0.6">
      <c r="A236" s="23">
        <v>1100</v>
      </c>
      <c r="B236" s="24"/>
      <c r="C236" s="31" t="s">
        <v>4</v>
      </c>
      <c r="D236" s="32"/>
    </row>
    <row r="237" spans="1:4" ht="42.75" customHeight="1" thickBot="1" x14ac:dyDescent="0.7">
      <c r="A237" s="34">
        <f>A236-A235</f>
        <v>50</v>
      </c>
      <c r="B237" s="35"/>
      <c r="C237" s="36" t="s">
        <v>5</v>
      </c>
      <c r="D237" s="32"/>
    </row>
    <row r="238" spans="1:4" ht="42.75" customHeight="1" thickBot="1" x14ac:dyDescent="0.6">
      <c r="A238" s="38">
        <v>60</v>
      </c>
      <c r="B238" s="39"/>
      <c r="C238" s="31" t="s">
        <v>6</v>
      </c>
      <c r="D238" s="32"/>
    </row>
    <row r="239" spans="1:4" ht="42.75" customHeight="1" thickBot="1" x14ac:dyDescent="0.6">
      <c r="A239" s="40"/>
      <c r="B239" s="41"/>
      <c r="C239" s="31" t="s">
        <v>7</v>
      </c>
      <c r="D239" s="32"/>
    </row>
    <row r="240" spans="1:4" ht="42.75" customHeight="1" thickBot="1" x14ac:dyDescent="0.6">
      <c r="A240" s="42">
        <f>A238*A237</f>
        <v>3000</v>
      </c>
      <c r="B240" s="43"/>
      <c r="C240" s="31" t="s">
        <v>8</v>
      </c>
      <c r="D240" s="32"/>
    </row>
    <row r="241" spans="1:4" ht="42.75" customHeight="1" thickBot="1" x14ac:dyDescent="0.6">
      <c r="A241" s="62" t="s">
        <v>9</v>
      </c>
      <c r="B241" s="63"/>
      <c r="C241" s="63"/>
      <c r="D241" s="64"/>
    </row>
    <row r="242" spans="1:4" ht="42.75" customHeight="1" thickBot="1" x14ac:dyDescent="0.6">
      <c r="A242" s="65" t="s">
        <v>10</v>
      </c>
      <c r="B242" s="66"/>
      <c r="C242" s="66"/>
      <c r="D242" s="67"/>
    </row>
    <row r="243" spans="1:4" ht="42.75" customHeight="1" thickBot="1" x14ac:dyDescent="0.6">
      <c r="A243" s="68" t="s">
        <v>11</v>
      </c>
      <c r="B243" s="69"/>
      <c r="C243" s="69"/>
      <c r="D243" s="70"/>
    </row>
    <row r="244" spans="1:4" ht="42.75" customHeight="1" thickBot="1" x14ac:dyDescent="0.6">
      <c r="A244" s="71" t="s">
        <v>13</v>
      </c>
      <c r="B244" s="72"/>
      <c r="C244" s="72"/>
      <c r="D244" s="73"/>
    </row>
    <row r="245" spans="1:4" ht="42.75" customHeight="1" thickBot="1" x14ac:dyDescent="0.6">
      <c r="A245" s="10" t="s">
        <v>15</v>
      </c>
      <c r="B245" s="11"/>
      <c r="C245" s="12" t="s">
        <v>14</v>
      </c>
      <c r="D245" s="11"/>
    </row>
    <row r="246" spans="1:4" ht="42.75" customHeight="1" thickBot="1" x14ac:dyDescent="0.6">
      <c r="A246" s="74" t="s">
        <v>17</v>
      </c>
      <c r="B246" s="15" t="s">
        <v>0</v>
      </c>
      <c r="C246" s="16" t="s">
        <v>16</v>
      </c>
      <c r="D246" s="17"/>
    </row>
    <row r="247" spans="1:4" ht="42.75" customHeight="1" thickBot="1" x14ac:dyDescent="0.6">
      <c r="A247" s="15"/>
      <c r="B247" s="15" t="s">
        <v>1</v>
      </c>
      <c r="C247" s="20" t="s">
        <v>18</v>
      </c>
      <c r="D247" s="21" t="s">
        <v>2</v>
      </c>
    </row>
    <row r="248" spans="1:4" ht="42.75" customHeight="1" thickBot="1" x14ac:dyDescent="0.6">
      <c r="A248" s="23">
        <v>1050</v>
      </c>
      <c r="B248" s="24"/>
      <c r="C248" s="25" t="s">
        <v>3</v>
      </c>
      <c r="D248" s="26"/>
    </row>
    <row r="249" spans="1:4" ht="42.75" customHeight="1" thickBot="1" x14ac:dyDescent="0.6">
      <c r="A249" s="23">
        <v>1100</v>
      </c>
      <c r="B249" s="24"/>
      <c r="C249" s="31" t="s">
        <v>4</v>
      </c>
      <c r="D249" s="32"/>
    </row>
    <row r="250" spans="1:4" ht="42.75" customHeight="1" thickBot="1" x14ac:dyDescent="0.7">
      <c r="A250" s="34">
        <f>A249-A248</f>
        <v>50</v>
      </c>
      <c r="B250" s="35"/>
      <c r="C250" s="36" t="s">
        <v>5</v>
      </c>
      <c r="D250" s="32"/>
    </row>
    <row r="251" spans="1:4" ht="42.75" customHeight="1" thickBot="1" x14ac:dyDescent="0.6">
      <c r="A251" s="38">
        <v>60</v>
      </c>
      <c r="B251" s="39"/>
      <c r="C251" s="31" t="s">
        <v>6</v>
      </c>
      <c r="D251" s="32"/>
    </row>
    <row r="252" spans="1:4" ht="42.75" customHeight="1" thickBot="1" x14ac:dyDescent="0.6">
      <c r="A252" s="40"/>
      <c r="B252" s="41"/>
      <c r="C252" s="31" t="s">
        <v>7</v>
      </c>
      <c r="D252" s="32"/>
    </row>
    <row r="253" spans="1:4" ht="42.75" customHeight="1" thickBot="1" x14ac:dyDescent="0.6">
      <c r="A253" s="42">
        <f>A251*A250</f>
        <v>3000</v>
      </c>
      <c r="B253" s="43"/>
      <c r="C253" s="31" t="s">
        <v>8</v>
      </c>
      <c r="D253" s="32"/>
    </row>
    <row r="254" spans="1:4" ht="42.75" customHeight="1" thickBot="1" x14ac:dyDescent="0.6">
      <c r="A254" s="62" t="s">
        <v>9</v>
      </c>
      <c r="B254" s="63"/>
      <c r="C254" s="63"/>
      <c r="D254" s="64"/>
    </row>
    <row r="255" spans="1:4" ht="42.75" customHeight="1" thickBot="1" x14ac:dyDescent="0.6">
      <c r="A255" s="65" t="s">
        <v>10</v>
      </c>
      <c r="B255" s="66"/>
      <c r="C255" s="66"/>
      <c r="D255" s="67"/>
    </row>
    <row r="256" spans="1:4" ht="42.75" customHeight="1" thickBot="1" x14ac:dyDescent="0.6">
      <c r="A256" s="68" t="s">
        <v>11</v>
      </c>
      <c r="B256" s="69"/>
      <c r="C256" s="69"/>
      <c r="D256" s="70"/>
    </row>
    <row r="257" spans="1:4" ht="42.75" customHeight="1" thickBot="1" x14ac:dyDescent="0.6">
      <c r="A257" s="53"/>
      <c r="B257" s="53"/>
      <c r="C257" s="53"/>
      <c r="D257" s="53"/>
    </row>
    <row r="258" spans="1:4" ht="42.75" customHeight="1" thickBot="1" x14ac:dyDescent="0.6">
      <c r="A258" s="71" t="s">
        <v>13</v>
      </c>
      <c r="B258" s="72"/>
      <c r="C258" s="72"/>
      <c r="D258" s="73"/>
    </row>
    <row r="259" spans="1:4" ht="42.75" customHeight="1" thickBot="1" x14ac:dyDescent="0.6">
      <c r="A259" s="10" t="s">
        <v>15</v>
      </c>
      <c r="B259" s="11"/>
      <c r="C259" s="12" t="s">
        <v>14</v>
      </c>
      <c r="D259" s="11"/>
    </row>
    <row r="260" spans="1:4" ht="42.75" customHeight="1" thickBot="1" x14ac:dyDescent="0.6">
      <c r="A260" s="74" t="s">
        <v>17</v>
      </c>
      <c r="B260" s="15" t="s">
        <v>0</v>
      </c>
      <c r="C260" s="16" t="s">
        <v>16</v>
      </c>
      <c r="D260" s="17"/>
    </row>
    <row r="261" spans="1:4" ht="42.75" customHeight="1" thickBot="1" x14ac:dyDescent="0.6">
      <c r="A261" s="15"/>
      <c r="B261" s="15" t="s">
        <v>1</v>
      </c>
      <c r="C261" s="20" t="s">
        <v>18</v>
      </c>
      <c r="D261" s="21" t="s">
        <v>2</v>
      </c>
    </row>
    <row r="262" spans="1:4" ht="42.75" customHeight="1" thickBot="1" x14ac:dyDescent="0.6">
      <c r="A262" s="23">
        <v>1050</v>
      </c>
      <c r="B262" s="24"/>
      <c r="C262" s="25" t="s">
        <v>3</v>
      </c>
      <c r="D262" s="26"/>
    </row>
    <row r="263" spans="1:4" ht="42.75" customHeight="1" thickBot="1" x14ac:dyDescent="0.6">
      <c r="A263" s="23">
        <v>1100</v>
      </c>
      <c r="B263" s="24"/>
      <c r="C263" s="31" t="s">
        <v>4</v>
      </c>
      <c r="D263" s="32"/>
    </row>
    <row r="264" spans="1:4" ht="42.75" customHeight="1" thickBot="1" x14ac:dyDescent="0.7">
      <c r="A264" s="34">
        <f>A263-A262</f>
        <v>50</v>
      </c>
      <c r="B264" s="35"/>
      <c r="C264" s="36" t="s">
        <v>5</v>
      </c>
      <c r="D264" s="32"/>
    </row>
    <row r="265" spans="1:4" ht="42.75" customHeight="1" thickBot="1" x14ac:dyDescent="0.6">
      <c r="A265" s="38">
        <v>60</v>
      </c>
      <c r="B265" s="39"/>
      <c r="C265" s="31" t="s">
        <v>6</v>
      </c>
      <c r="D265" s="32"/>
    </row>
    <row r="266" spans="1:4" ht="42.75" customHeight="1" thickBot="1" x14ac:dyDescent="0.6">
      <c r="A266" s="40"/>
      <c r="B266" s="41"/>
      <c r="C266" s="31" t="s">
        <v>7</v>
      </c>
      <c r="D266" s="32"/>
    </row>
    <row r="267" spans="1:4" ht="42.75" customHeight="1" thickBot="1" x14ac:dyDescent="0.6">
      <c r="A267" s="42">
        <f>A265*A264</f>
        <v>3000</v>
      </c>
      <c r="B267" s="43"/>
      <c r="C267" s="31" t="s">
        <v>8</v>
      </c>
      <c r="D267" s="32"/>
    </row>
    <row r="268" spans="1:4" ht="42.75" customHeight="1" thickBot="1" x14ac:dyDescent="0.6">
      <c r="A268" s="62" t="s">
        <v>9</v>
      </c>
      <c r="B268" s="63"/>
      <c r="C268" s="63"/>
      <c r="D268" s="64"/>
    </row>
    <row r="269" spans="1:4" ht="42.75" customHeight="1" thickBot="1" x14ac:dyDescent="0.6">
      <c r="A269" s="65" t="s">
        <v>10</v>
      </c>
      <c r="B269" s="66"/>
      <c r="C269" s="66"/>
      <c r="D269" s="67"/>
    </row>
    <row r="270" spans="1:4" ht="42.75" customHeight="1" thickBot="1" x14ac:dyDescent="0.6">
      <c r="A270" s="68" t="s">
        <v>11</v>
      </c>
      <c r="B270" s="69"/>
      <c r="C270" s="69"/>
      <c r="D270" s="70"/>
    </row>
    <row r="271" spans="1:4" ht="42.75" customHeight="1" thickBot="1" x14ac:dyDescent="0.6">
      <c r="A271" s="71" t="s">
        <v>13</v>
      </c>
      <c r="B271" s="72"/>
      <c r="C271" s="72"/>
      <c r="D271" s="73"/>
    </row>
    <row r="272" spans="1:4" ht="42.75" customHeight="1" thickBot="1" x14ac:dyDescent="0.6">
      <c r="A272" s="10" t="s">
        <v>15</v>
      </c>
      <c r="B272" s="11"/>
      <c r="C272" s="12" t="s">
        <v>14</v>
      </c>
      <c r="D272" s="11"/>
    </row>
    <row r="273" spans="1:4" ht="42.75" customHeight="1" thickBot="1" x14ac:dyDescent="0.6">
      <c r="A273" s="74" t="s">
        <v>17</v>
      </c>
      <c r="B273" s="15" t="s">
        <v>0</v>
      </c>
      <c r="C273" s="16" t="s">
        <v>16</v>
      </c>
      <c r="D273" s="17"/>
    </row>
    <row r="274" spans="1:4" ht="42.75" customHeight="1" thickBot="1" x14ac:dyDescent="0.6">
      <c r="A274" s="15"/>
      <c r="B274" s="15" t="s">
        <v>1</v>
      </c>
      <c r="C274" s="20" t="s">
        <v>18</v>
      </c>
      <c r="D274" s="21" t="s">
        <v>2</v>
      </c>
    </row>
    <row r="275" spans="1:4" ht="42.75" customHeight="1" thickBot="1" x14ac:dyDescent="0.6">
      <c r="A275" s="23">
        <v>1050</v>
      </c>
      <c r="B275" s="24"/>
      <c r="C275" s="25" t="s">
        <v>3</v>
      </c>
      <c r="D275" s="26"/>
    </row>
    <row r="276" spans="1:4" ht="42.75" customHeight="1" thickBot="1" x14ac:dyDescent="0.6">
      <c r="A276" s="23">
        <v>1100</v>
      </c>
      <c r="B276" s="24"/>
      <c r="C276" s="31" t="s">
        <v>4</v>
      </c>
      <c r="D276" s="32"/>
    </row>
    <row r="277" spans="1:4" ht="42.75" customHeight="1" thickBot="1" x14ac:dyDescent="0.7">
      <c r="A277" s="34">
        <f>A276-A275</f>
        <v>50</v>
      </c>
      <c r="B277" s="35"/>
      <c r="C277" s="36" t="s">
        <v>5</v>
      </c>
      <c r="D277" s="32"/>
    </row>
    <row r="278" spans="1:4" ht="42.75" customHeight="1" thickBot="1" x14ac:dyDescent="0.6">
      <c r="A278" s="38">
        <v>60</v>
      </c>
      <c r="B278" s="39"/>
      <c r="C278" s="31" t="s">
        <v>6</v>
      </c>
      <c r="D278" s="32"/>
    </row>
    <row r="279" spans="1:4" ht="42.75" customHeight="1" thickBot="1" x14ac:dyDescent="0.6">
      <c r="A279" s="40"/>
      <c r="B279" s="41"/>
      <c r="C279" s="31" t="s">
        <v>7</v>
      </c>
      <c r="D279" s="32"/>
    </row>
    <row r="280" spans="1:4" ht="42.75" customHeight="1" thickBot="1" x14ac:dyDescent="0.6">
      <c r="A280" s="42">
        <f>A278*A277</f>
        <v>3000</v>
      </c>
      <c r="B280" s="43"/>
      <c r="C280" s="31" t="s">
        <v>8</v>
      </c>
      <c r="D280" s="32"/>
    </row>
    <row r="281" spans="1:4" ht="42.75" customHeight="1" thickBot="1" x14ac:dyDescent="0.6">
      <c r="A281" s="62" t="s">
        <v>9</v>
      </c>
      <c r="B281" s="63"/>
      <c r="C281" s="63"/>
      <c r="D281" s="64"/>
    </row>
    <row r="282" spans="1:4" ht="42.75" customHeight="1" thickBot="1" x14ac:dyDescent="0.6">
      <c r="A282" s="65" t="s">
        <v>10</v>
      </c>
      <c r="B282" s="66"/>
      <c r="C282" s="66"/>
      <c r="D282" s="67"/>
    </row>
    <row r="283" spans="1:4" ht="42.75" customHeight="1" thickBot="1" x14ac:dyDescent="0.6">
      <c r="A283" s="68" t="s">
        <v>11</v>
      </c>
      <c r="B283" s="69"/>
      <c r="C283" s="69"/>
      <c r="D283" s="70"/>
    </row>
    <row r="284" spans="1:4" ht="42.75" customHeight="1" thickBot="1" x14ac:dyDescent="0.6">
      <c r="A284" s="53"/>
      <c r="B284" s="53"/>
      <c r="C284" s="53"/>
      <c r="D284" s="53"/>
    </row>
    <row r="285" spans="1:4" ht="42.75" customHeight="1" thickBot="1" x14ac:dyDescent="0.6">
      <c r="A285" s="71" t="s">
        <v>13</v>
      </c>
      <c r="B285" s="72"/>
      <c r="C285" s="72"/>
      <c r="D285" s="73"/>
    </row>
    <row r="286" spans="1:4" ht="42.75" customHeight="1" thickBot="1" x14ac:dyDescent="0.6">
      <c r="A286" s="10" t="s">
        <v>15</v>
      </c>
      <c r="B286" s="11"/>
      <c r="C286" s="12" t="s">
        <v>14</v>
      </c>
      <c r="D286" s="11"/>
    </row>
    <row r="287" spans="1:4" ht="42.75" customHeight="1" thickBot="1" x14ac:dyDescent="0.6">
      <c r="A287" s="74" t="s">
        <v>17</v>
      </c>
      <c r="B287" s="15" t="s">
        <v>0</v>
      </c>
      <c r="C287" s="16" t="s">
        <v>16</v>
      </c>
      <c r="D287" s="17"/>
    </row>
    <row r="288" spans="1:4" ht="42.75" customHeight="1" thickBot="1" x14ac:dyDescent="0.6">
      <c r="A288" s="15"/>
      <c r="B288" s="15" t="s">
        <v>1</v>
      </c>
      <c r="C288" s="20" t="s">
        <v>18</v>
      </c>
      <c r="D288" s="21" t="s">
        <v>2</v>
      </c>
    </row>
    <row r="289" spans="1:4" ht="42.75" customHeight="1" thickBot="1" x14ac:dyDescent="0.6">
      <c r="A289" s="23">
        <v>1050</v>
      </c>
      <c r="B289" s="24"/>
      <c r="C289" s="25" t="s">
        <v>3</v>
      </c>
      <c r="D289" s="26"/>
    </row>
    <row r="290" spans="1:4" ht="42.75" customHeight="1" thickBot="1" x14ac:dyDescent="0.6">
      <c r="A290" s="23">
        <v>1100</v>
      </c>
      <c r="B290" s="24"/>
      <c r="C290" s="31" t="s">
        <v>4</v>
      </c>
      <c r="D290" s="32"/>
    </row>
    <row r="291" spans="1:4" ht="42.75" customHeight="1" thickBot="1" x14ac:dyDescent="0.7">
      <c r="A291" s="34">
        <f>A290-A289</f>
        <v>50</v>
      </c>
      <c r="B291" s="35"/>
      <c r="C291" s="36" t="s">
        <v>5</v>
      </c>
      <c r="D291" s="32"/>
    </row>
    <row r="292" spans="1:4" ht="42.75" customHeight="1" thickBot="1" x14ac:dyDescent="0.6">
      <c r="A292" s="38">
        <v>60</v>
      </c>
      <c r="B292" s="39"/>
      <c r="C292" s="31" t="s">
        <v>6</v>
      </c>
      <c r="D292" s="32"/>
    </row>
    <row r="293" spans="1:4" ht="42.75" customHeight="1" thickBot="1" x14ac:dyDescent="0.6">
      <c r="A293" s="40"/>
      <c r="B293" s="41"/>
      <c r="C293" s="31" t="s">
        <v>7</v>
      </c>
      <c r="D293" s="32"/>
    </row>
    <row r="294" spans="1:4" ht="42.75" customHeight="1" thickBot="1" x14ac:dyDescent="0.6">
      <c r="A294" s="42">
        <f>A292*A291</f>
        <v>3000</v>
      </c>
      <c r="B294" s="43"/>
      <c r="C294" s="31" t="s">
        <v>8</v>
      </c>
      <c r="D294" s="32"/>
    </row>
    <row r="295" spans="1:4" ht="42.75" customHeight="1" thickBot="1" x14ac:dyDescent="0.6">
      <c r="A295" s="62" t="s">
        <v>9</v>
      </c>
      <c r="B295" s="63"/>
      <c r="C295" s="63"/>
      <c r="D295" s="64"/>
    </row>
    <row r="296" spans="1:4" ht="42.75" customHeight="1" thickBot="1" x14ac:dyDescent="0.6">
      <c r="A296" s="65" t="s">
        <v>10</v>
      </c>
      <c r="B296" s="66"/>
      <c r="C296" s="66"/>
      <c r="D296" s="67"/>
    </row>
    <row r="297" spans="1:4" ht="42.75" customHeight="1" thickBot="1" x14ac:dyDescent="0.6">
      <c r="A297" s="68" t="s">
        <v>11</v>
      </c>
      <c r="B297" s="69"/>
      <c r="C297" s="69"/>
      <c r="D297" s="70"/>
    </row>
    <row r="298" spans="1:4" ht="42.75" customHeight="1" thickBot="1" x14ac:dyDescent="0.6">
      <c r="A298" s="71" t="s">
        <v>13</v>
      </c>
      <c r="B298" s="72"/>
      <c r="C298" s="72"/>
      <c r="D298" s="73"/>
    </row>
    <row r="299" spans="1:4" ht="42.75" customHeight="1" thickBot="1" x14ac:dyDescent="0.6">
      <c r="A299" s="10" t="s">
        <v>15</v>
      </c>
      <c r="B299" s="11"/>
      <c r="C299" s="12" t="s">
        <v>14</v>
      </c>
      <c r="D299" s="11"/>
    </row>
    <row r="300" spans="1:4" ht="42.75" customHeight="1" thickBot="1" x14ac:dyDescent="0.6">
      <c r="A300" s="74" t="s">
        <v>17</v>
      </c>
      <c r="B300" s="15" t="s">
        <v>0</v>
      </c>
      <c r="C300" s="16" t="s">
        <v>16</v>
      </c>
      <c r="D300" s="17"/>
    </row>
    <row r="301" spans="1:4" ht="42.75" customHeight="1" thickBot="1" x14ac:dyDescent="0.6">
      <c r="A301" s="15"/>
      <c r="B301" s="15" t="s">
        <v>1</v>
      </c>
      <c r="C301" s="20" t="s">
        <v>18</v>
      </c>
      <c r="D301" s="21" t="s">
        <v>2</v>
      </c>
    </row>
    <row r="302" spans="1:4" ht="42.75" customHeight="1" thickBot="1" x14ac:dyDescent="0.6">
      <c r="A302" s="23">
        <v>1050</v>
      </c>
      <c r="B302" s="24"/>
      <c r="C302" s="25" t="s">
        <v>3</v>
      </c>
      <c r="D302" s="26"/>
    </row>
    <row r="303" spans="1:4" ht="42.75" customHeight="1" thickBot="1" x14ac:dyDescent="0.6">
      <c r="A303" s="23">
        <v>1100</v>
      </c>
      <c r="B303" s="24"/>
      <c r="C303" s="31" t="s">
        <v>4</v>
      </c>
      <c r="D303" s="32"/>
    </row>
    <row r="304" spans="1:4" ht="42.75" customHeight="1" thickBot="1" x14ac:dyDescent="0.7">
      <c r="A304" s="34">
        <f>A303-A302</f>
        <v>50</v>
      </c>
      <c r="B304" s="35"/>
      <c r="C304" s="36" t="s">
        <v>5</v>
      </c>
      <c r="D304" s="32"/>
    </row>
    <row r="305" spans="1:4" ht="42.75" customHeight="1" thickBot="1" x14ac:dyDescent="0.6">
      <c r="A305" s="38">
        <v>60</v>
      </c>
      <c r="B305" s="39"/>
      <c r="C305" s="31" t="s">
        <v>6</v>
      </c>
      <c r="D305" s="32"/>
    </row>
    <row r="306" spans="1:4" ht="42.75" customHeight="1" thickBot="1" x14ac:dyDescent="0.6">
      <c r="A306" s="40"/>
      <c r="B306" s="41"/>
      <c r="C306" s="31" t="s">
        <v>7</v>
      </c>
      <c r="D306" s="32"/>
    </row>
    <row r="307" spans="1:4" ht="42.75" customHeight="1" thickBot="1" x14ac:dyDescent="0.6">
      <c r="A307" s="42">
        <f>A305*A304</f>
        <v>3000</v>
      </c>
      <c r="B307" s="43"/>
      <c r="C307" s="31" t="s">
        <v>8</v>
      </c>
      <c r="D307" s="32"/>
    </row>
    <row r="308" spans="1:4" ht="42.75" customHeight="1" thickBot="1" x14ac:dyDescent="0.6">
      <c r="A308" s="62" t="s">
        <v>9</v>
      </c>
      <c r="B308" s="63"/>
      <c r="C308" s="63"/>
      <c r="D308" s="64"/>
    </row>
    <row r="309" spans="1:4" ht="42.75" customHeight="1" thickBot="1" x14ac:dyDescent="0.6">
      <c r="A309" s="65" t="s">
        <v>10</v>
      </c>
      <c r="B309" s="66"/>
      <c r="C309" s="66"/>
      <c r="D309" s="67"/>
    </row>
    <row r="310" spans="1:4" ht="42.75" customHeight="1" thickBot="1" x14ac:dyDescent="0.6">
      <c r="A310" s="68" t="s">
        <v>11</v>
      </c>
      <c r="B310" s="69"/>
      <c r="C310" s="69"/>
      <c r="D310" s="70"/>
    </row>
    <row r="311" spans="1:4" ht="42.75" customHeight="1" thickBot="1" x14ac:dyDescent="0.6">
      <c r="A311" s="53"/>
      <c r="B311" s="53"/>
      <c r="C311" s="53"/>
      <c r="D311" s="53"/>
    </row>
    <row r="312" spans="1:4" ht="42.75" customHeight="1" thickBot="1" x14ac:dyDescent="0.6">
      <c r="A312" s="71" t="s">
        <v>13</v>
      </c>
      <c r="B312" s="72"/>
      <c r="C312" s="72"/>
      <c r="D312" s="73"/>
    </row>
    <row r="313" spans="1:4" ht="42.75" customHeight="1" thickBot="1" x14ac:dyDescent="0.6">
      <c r="A313" s="10" t="s">
        <v>15</v>
      </c>
      <c r="B313" s="11"/>
      <c r="C313" s="12" t="s">
        <v>14</v>
      </c>
      <c r="D313" s="11"/>
    </row>
    <row r="314" spans="1:4" ht="42.75" customHeight="1" thickBot="1" x14ac:dyDescent="0.6">
      <c r="A314" s="74" t="s">
        <v>17</v>
      </c>
      <c r="B314" s="15" t="s">
        <v>0</v>
      </c>
      <c r="C314" s="16" t="s">
        <v>16</v>
      </c>
      <c r="D314" s="17"/>
    </row>
    <row r="315" spans="1:4" ht="42.75" customHeight="1" thickBot="1" x14ac:dyDescent="0.6">
      <c r="A315" s="15"/>
      <c r="B315" s="15" t="s">
        <v>1</v>
      </c>
      <c r="C315" s="20" t="s">
        <v>18</v>
      </c>
      <c r="D315" s="21" t="s">
        <v>2</v>
      </c>
    </row>
    <row r="316" spans="1:4" ht="42.75" customHeight="1" thickBot="1" x14ac:dyDescent="0.6">
      <c r="A316" s="23">
        <v>1050</v>
      </c>
      <c r="B316" s="24"/>
      <c r="C316" s="25" t="s">
        <v>3</v>
      </c>
      <c r="D316" s="26"/>
    </row>
    <row r="317" spans="1:4" ht="42.75" customHeight="1" thickBot="1" x14ac:dyDescent="0.6">
      <c r="A317" s="23">
        <v>1100</v>
      </c>
      <c r="B317" s="24"/>
      <c r="C317" s="31" t="s">
        <v>4</v>
      </c>
      <c r="D317" s="32"/>
    </row>
    <row r="318" spans="1:4" ht="42.75" customHeight="1" thickBot="1" x14ac:dyDescent="0.7">
      <c r="A318" s="34">
        <f>A317-A316</f>
        <v>50</v>
      </c>
      <c r="B318" s="35"/>
      <c r="C318" s="36" t="s">
        <v>5</v>
      </c>
      <c r="D318" s="32"/>
    </row>
    <row r="319" spans="1:4" ht="42.75" customHeight="1" thickBot="1" x14ac:dyDescent="0.6">
      <c r="A319" s="38">
        <v>60</v>
      </c>
      <c r="B319" s="39"/>
      <c r="C319" s="31" t="s">
        <v>6</v>
      </c>
      <c r="D319" s="32"/>
    </row>
    <row r="320" spans="1:4" ht="42.75" customHeight="1" thickBot="1" x14ac:dyDescent="0.6">
      <c r="A320" s="40"/>
      <c r="B320" s="41"/>
      <c r="C320" s="31" t="s">
        <v>7</v>
      </c>
      <c r="D320" s="32"/>
    </row>
    <row r="321" spans="1:4" ht="42.75" customHeight="1" thickBot="1" x14ac:dyDescent="0.6">
      <c r="A321" s="42">
        <f>A319*A318</f>
        <v>3000</v>
      </c>
      <c r="B321" s="43"/>
      <c r="C321" s="31" t="s">
        <v>8</v>
      </c>
      <c r="D321" s="32"/>
    </row>
    <row r="322" spans="1:4" ht="42.75" customHeight="1" thickBot="1" x14ac:dyDescent="0.6">
      <c r="A322" s="62" t="s">
        <v>9</v>
      </c>
      <c r="B322" s="63"/>
      <c r="C322" s="63"/>
      <c r="D322" s="64"/>
    </row>
    <row r="323" spans="1:4" ht="42.75" customHeight="1" thickBot="1" x14ac:dyDescent="0.6">
      <c r="A323" s="65" t="s">
        <v>10</v>
      </c>
      <c r="B323" s="66"/>
      <c r="C323" s="66"/>
      <c r="D323" s="67"/>
    </row>
    <row r="324" spans="1:4" ht="42.75" customHeight="1" thickBot="1" x14ac:dyDescent="0.6">
      <c r="A324" s="68" t="s">
        <v>11</v>
      </c>
      <c r="B324" s="69"/>
      <c r="C324" s="69"/>
      <c r="D324" s="70"/>
    </row>
    <row r="325" spans="1:4" ht="42.75" customHeight="1" thickBot="1" x14ac:dyDescent="0.6">
      <c r="A325" s="71" t="s">
        <v>13</v>
      </c>
      <c r="B325" s="72"/>
      <c r="C325" s="72"/>
      <c r="D325" s="73"/>
    </row>
    <row r="326" spans="1:4" ht="42.75" customHeight="1" thickBot="1" x14ac:dyDescent="0.6">
      <c r="A326" s="10" t="s">
        <v>15</v>
      </c>
      <c r="B326" s="11"/>
      <c r="C326" s="12" t="s">
        <v>14</v>
      </c>
      <c r="D326" s="11"/>
    </row>
    <row r="327" spans="1:4" ht="42.75" customHeight="1" thickBot="1" x14ac:dyDescent="0.6">
      <c r="A327" s="74" t="s">
        <v>17</v>
      </c>
      <c r="B327" s="15" t="s">
        <v>0</v>
      </c>
      <c r="C327" s="16" t="s">
        <v>16</v>
      </c>
      <c r="D327" s="17"/>
    </row>
    <row r="328" spans="1:4" ht="42.75" customHeight="1" thickBot="1" x14ac:dyDescent="0.6">
      <c r="A328" s="15"/>
      <c r="B328" s="15" t="s">
        <v>1</v>
      </c>
      <c r="C328" s="20" t="s">
        <v>18</v>
      </c>
      <c r="D328" s="21" t="s">
        <v>2</v>
      </c>
    </row>
    <row r="329" spans="1:4" ht="42.75" customHeight="1" thickBot="1" x14ac:dyDescent="0.6">
      <c r="A329" s="23">
        <v>1050</v>
      </c>
      <c r="B329" s="24"/>
      <c r="C329" s="25" t="s">
        <v>3</v>
      </c>
      <c r="D329" s="26"/>
    </row>
    <row r="330" spans="1:4" ht="42.75" customHeight="1" thickBot="1" x14ac:dyDescent="0.6">
      <c r="A330" s="23">
        <v>1100</v>
      </c>
      <c r="B330" s="24"/>
      <c r="C330" s="31" t="s">
        <v>4</v>
      </c>
      <c r="D330" s="32"/>
    </row>
    <row r="331" spans="1:4" ht="42.75" customHeight="1" thickBot="1" x14ac:dyDescent="0.7">
      <c r="A331" s="34">
        <f>A330-A329</f>
        <v>50</v>
      </c>
      <c r="B331" s="35"/>
      <c r="C331" s="36" t="s">
        <v>5</v>
      </c>
      <c r="D331" s="32"/>
    </row>
    <row r="332" spans="1:4" ht="42.75" customHeight="1" thickBot="1" x14ac:dyDescent="0.6">
      <c r="A332" s="38">
        <v>60</v>
      </c>
      <c r="B332" s="39"/>
      <c r="C332" s="31" t="s">
        <v>6</v>
      </c>
      <c r="D332" s="32"/>
    </row>
    <row r="333" spans="1:4" ht="42.75" customHeight="1" thickBot="1" x14ac:dyDescent="0.6">
      <c r="A333" s="40"/>
      <c r="B333" s="41"/>
      <c r="C333" s="31" t="s">
        <v>7</v>
      </c>
      <c r="D333" s="32"/>
    </row>
    <row r="334" spans="1:4" ht="42.75" customHeight="1" thickBot="1" x14ac:dyDescent="0.6">
      <c r="A334" s="42">
        <f>A332*A331</f>
        <v>3000</v>
      </c>
      <c r="B334" s="43"/>
      <c r="C334" s="31" t="s">
        <v>8</v>
      </c>
      <c r="D334" s="32"/>
    </row>
    <row r="335" spans="1:4" ht="42.75" customHeight="1" thickBot="1" x14ac:dyDescent="0.6">
      <c r="A335" s="62" t="s">
        <v>9</v>
      </c>
      <c r="B335" s="63"/>
      <c r="C335" s="63"/>
      <c r="D335" s="64"/>
    </row>
    <row r="336" spans="1:4" ht="42.75" customHeight="1" thickBot="1" x14ac:dyDescent="0.6">
      <c r="A336" s="65" t="s">
        <v>10</v>
      </c>
      <c r="B336" s="66"/>
      <c r="C336" s="66"/>
      <c r="D336" s="67"/>
    </row>
    <row r="337" spans="1:4" ht="42.75" customHeight="1" thickBot="1" x14ac:dyDescent="0.6">
      <c r="A337" s="68" t="s">
        <v>11</v>
      </c>
      <c r="B337" s="69"/>
      <c r="C337" s="69"/>
      <c r="D337" s="70"/>
    </row>
    <row r="338" spans="1:4" ht="42.75" customHeight="1" thickBot="1" x14ac:dyDescent="0.6">
      <c r="A338" s="53"/>
      <c r="B338" s="53"/>
      <c r="C338" s="53"/>
      <c r="D338" s="53"/>
    </row>
    <row r="339" spans="1:4" ht="42.75" customHeight="1" thickBot="1" x14ac:dyDescent="0.6">
      <c r="A339" s="71" t="s">
        <v>13</v>
      </c>
      <c r="B339" s="72"/>
      <c r="C339" s="72"/>
      <c r="D339" s="73"/>
    </row>
    <row r="340" spans="1:4" ht="42.75" customHeight="1" thickBot="1" x14ac:dyDescent="0.6">
      <c r="A340" s="10" t="s">
        <v>15</v>
      </c>
      <c r="B340" s="11"/>
      <c r="C340" s="12" t="s">
        <v>14</v>
      </c>
      <c r="D340" s="11"/>
    </row>
    <row r="341" spans="1:4" ht="42.75" customHeight="1" thickBot="1" x14ac:dyDescent="0.6">
      <c r="A341" s="74" t="s">
        <v>17</v>
      </c>
      <c r="B341" s="15" t="s">
        <v>0</v>
      </c>
      <c r="C341" s="16" t="s">
        <v>16</v>
      </c>
      <c r="D341" s="17"/>
    </row>
    <row r="342" spans="1:4" ht="42.75" customHeight="1" thickBot="1" x14ac:dyDescent="0.6">
      <c r="A342" s="15"/>
      <c r="B342" s="15" t="s">
        <v>1</v>
      </c>
      <c r="C342" s="20" t="s">
        <v>18</v>
      </c>
      <c r="D342" s="21" t="s">
        <v>2</v>
      </c>
    </row>
    <row r="343" spans="1:4" ht="42.75" customHeight="1" thickBot="1" x14ac:dyDescent="0.6">
      <c r="A343" s="23">
        <v>1050</v>
      </c>
      <c r="B343" s="24"/>
      <c r="C343" s="25" t="s">
        <v>3</v>
      </c>
      <c r="D343" s="26"/>
    </row>
    <row r="344" spans="1:4" ht="42.75" customHeight="1" thickBot="1" x14ac:dyDescent="0.6">
      <c r="A344" s="23">
        <v>1100</v>
      </c>
      <c r="B344" s="24"/>
      <c r="C344" s="31" t="s">
        <v>4</v>
      </c>
      <c r="D344" s="32"/>
    </row>
    <row r="345" spans="1:4" ht="42.75" customHeight="1" thickBot="1" x14ac:dyDescent="0.7">
      <c r="A345" s="34">
        <f>A344-A343</f>
        <v>50</v>
      </c>
      <c r="B345" s="35"/>
      <c r="C345" s="36" t="s">
        <v>5</v>
      </c>
      <c r="D345" s="32"/>
    </row>
    <row r="346" spans="1:4" ht="42.75" customHeight="1" thickBot="1" x14ac:dyDescent="0.6">
      <c r="A346" s="38">
        <v>60</v>
      </c>
      <c r="B346" s="39"/>
      <c r="C346" s="31" t="s">
        <v>6</v>
      </c>
      <c r="D346" s="32"/>
    </row>
    <row r="347" spans="1:4" ht="42.75" customHeight="1" thickBot="1" x14ac:dyDescent="0.6">
      <c r="A347" s="40"/>
      <c r="B347" s="41"/>
      <c r="C347" s="31" t="s">
        <v>7</v>
      </c>
      <c r="D347" s="32"/>
    </row>
    <row r="348" spans="1:4" ht="42.75" customHeight="1" thickBot="1" x14ac:dyDescent="0.6">
      <c r="A348" s="42">
        <f>A346*A345</f>
        <v>3000</v>
      </c>
      <c r="B348" s="43"/>
      <c r="C348" s="31" t="s">
        <v>8</v>
      </c>
      <c r="D348" s="32"/>
    </row>
    <row r="349" spans="1:4" ht="42.75" customHeight="1" thickBot="1" x14ac:dyDescent="0.6">
      <c r="A349" s="62" t="s">
        <v>9</v>
      </c>
      <c r="B349" s="63"/>
      <c r="C349" s="63"/>
      <c r="D349" s="64"/>
    </row>
    <row r="350" spans="1:4" ht="42.75" customHeight="1" thickBot="1" x14ac:dyDescent="0.6">
      <c r="A350" s="65" t="s">
        <v>10</v>
      </c>
      <c r="B350" s="66"/>
      <c r="C350" s="66"/>
      <c r="D350" s="67"/>
    </row>
    <row r="351" spans="1:4" ht="42.75" customHeight="1" thickBot="1" x14ac:dyDescent="0.6">
      <c r="A351" s="68" t="s">
        <v>11</v>
      </c>
      <c r="B351" s="69"/>
      <c r="C351" s="69"/>
      <c r="D351" s="70"/>
    </row>
    <row r="352" spans="1:4" ht="42.75" customHeight="1" thickBot="1" x14ac:dyDescent="0.6">
      <c r="A352" s="71" t="s">
        <v>13</v>
      </c>
      <c r="B352" s="72"/>
      <c r="C352" s="72"/>
      <c r="D352" s="73"/>
    </row>
    <row r="353" spans="1:4" ht="42.75" customHeight="1" thickBot="1" x14ac:dyDescent="0.6">
      <c r="A353" s="10" t="s">
        <v>15</v>
      </c>
      <c r="B353" s="11"/>
      <c r="C353" s="12" t="s">
        <v>14</v>
      </c>
      <c r="D353" s="11"/>
    </row>
    <row r="354" spans="1:4" ht="42.75" customHeight="1" thickBot="1" x14ac:dyDescent="0.6">
      <c r="A354" s="74" t="s">
        <v>17</v>
      </c>
      <c r="B354" s="15" t="s">
        <v>0</v>
      </c>
      <c r="C354" s="16" t="s">
        <v>16</v>
      </c>
      <c r="D354" s="17"/>
    </row>
    <row r="355" spans="1:4" ht="42.75" customHeight="1" thickBot="1" x14ac:dyDescent="0.6">
      <c r="A355" s="15"/>
      <c r="B355" s="15" t="s">
        <v>1</v>
      </c>
      <c r="C355" s="20" t="s">
        <v>18</v>
      </c>
      <c r="D355" s="21" t="s">
        <v>2</v>
      </c>
    </row>
    <row r="356" spans="1:4" ht="42.75" customHeight="1" thickBot="1" x14ac:dyDescent="0.6">
      <c r="A356" s="23">
        <v>1050</v>
      </c>
      <c r="B356" s="24"/>
      <c r="C356" s="25" t="s">
        <v>3</v>
      </c>
      <c r="D356" s="26"/>
    </row>
    <row r="357" spans="1:4" ht="42.75" customHeight="1" thickBot="1" x14ac:dyDescent="0.6">
      <c r="A357" s="23">
        <v>1100</v>
      </c>
      <c r="B357" s="24"/>
      <c r="C357" s="31" t="s">
        <v>4</v>
      </c>
      <c r="D357" s="32"/>
    </row>
    <row r="358" spans="1:4" ht="42.75" customHeight="1" thickBot="1" x14ac:dyDescent="0.7">
      <c r="A358" s="34">
        <f>A357-A356</f>
        <v>50</v>
      </c>
      <c r="B358" s="35"/>
      <c r="C358" s="36" t="s">
        <v>5</v>
      </c>
      <c r="D358" s="32"/>
    </row>
    <row r="359" spans="1:4" ht="42.75" customHeight="1" thickBot="1" x14ac:dyDescent="0.6">
      <c r="A359" s="38">
        <v>60</v>
      </c>
      <c r="B359" s="39"/>
      <c r="C359" s="31" t="s">
        <v>6</v>
      </c>
      <c r="D359" s="32"/>
    </row>
    <row r="360" spans="1:4" ht="42.75" customHeight="1" thickBot="1" x14ac:dyDescent="0.6">
      <c r="A360" s="40"/>
      <c r="B360" s="41"/>
      <c r="C360" s="31" t="s">
        <v>7</v>
      </c>
      <c r="D360" s="32"/>
    </row>
    <row r="361" spans="1:4" ht="42.75" customHeight="1" thickBot="1" x14ac:dyDescent="0.6">
      <c r="A361" s="42">
        <f>A359*A358</f>
        <v>3000</v>
      </c>
      <c r="B361" s="43"/>
      <c r="C361" s="31" t="s">
        <v>8</v>
      </c>
      <c r="D361" s="32"/>
    </row>
    <row r="362" spans="1:4" ht="42.75" customHeight="1" thickBot="1" x14ac:dyDescent="0.6">
      <c r="A362" s="62" t="s">
        <v>9</v>
      </c>
      <c r="B362" s="63"/>
      <c r="C362" s="63"/>
      <c r="D362" s="64"/>
    </row>
    <row r="363" spans="1:4" ht="42.75" customHeight="1" thickBot="1" x14ac:dyDescent="0.6">
      <c r="A363" s="65" t="s">
        <v>10</v>
      </c>
      <c r="B363" s="66"/>
      <c r="C363" s="66"/>
      <c r="D363" s="67"/>
    </row>
    <row r="364" spans="1:4" ht="42.75" customHeight="1" thickBot="1" x14ac:dyDescent="0.6">
      <c r="A364" s="68" t="s">
        <v>11</v>
      </c>
      <c r="B364" s="69"/>
      <c r="C364" s="69"/>
      <c r="D364" s="70"/>
    </row>
    <row r="365" spans="1:4" ht="42.75" customHeight="1" thickBot="1" x14ac:dyDescent="0.6">
      <c r="A365" s="53"/>
      <c r="B365" s="53"/>
      <c r="C365" s="53"/>
      <c r="D365" s="53"/>
    </row>
    <row r="366" spans="1:4" ht="42.75" customHeight="1" thickBot="1" x14ac:dyDescent="0.6">
      <c r="A366" s="71" t="s">
        <v>13</v>
      </c>
      <c r="B366" s="72"/>
      <c r="C366" s="72"/>
      <c r="D366" s="73"/>
    </row>
    <row r="367" spans="1:4" ht="42.75" customHeight="1" thickBot="1" x14ac:dyDescent="0.6">
      <c r="A367" s="10" t="s">
        <v>15</v>
      </c>
      <c r="B367" s="11"/>
      <c r="C367" s="12" t="s">
        <v>14</v>
      </c>
      <c r="D367" s="11"/>
    </row>
    <row r="368" spans="1:4" ht="42.75" customHeight="1" thickBot="1" x14ac:dyDescent="0.6">
      <c r="A368" s="74" t="s">
        <v>17</v>
      </c>
      <c r="B368" s="15" t="s">
        <v>0</v>
      </c>
      <c r="C368" s="16" t="s">
        <v>16</v>
      </c>
      <c r="D368" s="17"/>
    </row>
    <row r="369" spans="1:4" ht="42.75" customHeight="1" thickBot="1" x14ac:dyDescent="0.6">
      <c r="A369" s="15"/>
      <c r="B369" s="15" t="s">
        <v>1</v>
      </c>
      <c r="C369" s="20" t="s">
        <v>18</v>
      </c>
      <c r="D369" s="21" t="s">
        <v>2</v>
      </c>
    </row>
    <row r="370" spans="1:4" ht="42.75" customHeight="1" thickBot="1" x14ac:dyDescent="0.6">
      <c r="A370" s="23">
        <v>1050</v>
      </c>
      <c r="B370" s="24"/>
      <c r="C370" s="25" t="s">
        <v>3</v>
      </c>
      <c r="D370" s="26"/>
    </row>
    <row r="371" spans="1:4" ht="42.75" customHeight="1" thickBot="1" x14ac:dyDescent="0.6">
      <c r="A371" s="23">
        <v>1100</v>
      </c>
      <c r="B371" s="24"/>
      <c r="C371" s="31" t="s">
        <v>4</v>
      </c>
      <c r="D371" s="32"/>
    </row>
    <row r="372" spans="1:4" ht="42.75" customHeight="1" thickBot="1" x14ac:dyDescent="0.7">
      <c r="A372" s="34">
        <f>A371-A370</f>
        <v>50</v>
      </c>
      <c r="B372" s="35"/>
      <c r="C372" s="36" t="s">
        <v>5</v>
      </c>
      <c r="D372" s="32"/>
    </row>
    <row r="373" spans="1:4" ht="42.75" customHeight="1" thickBot="1" x14ac:dyDescent="0.6">
      <c r="A373" s="38">
        <v>60</v>
      </c>
      <c r="B373" s="39"/>
      <c r="C373" s="31" t="s">
        <v>6</v>
      </c>
      <c r="D373" s="32"/>
    </row>
    <row r="374" spans="1:4" ht="42.75" customHeight="1" thickBot="1" x14ac:dyDescent="0.6">
      <c r="A374" s="40"/>
      <c r="B374" s="41"/>
      <c r="C374" s="31" t="s">
        <v>7</v>
      </c>
      <c r="D374" s="32"/>
    </row>
    <row r="375" spans="1:4" ht="42.75" customHeight="1" thickBot="1" x14ac:dyDescent="0.6">
      <c r="A375" s="42">
        <f>A373*A372</f>
        <v>3000</v>
      </c>
      <c r="B375" s="43"/>
      <c r="C375" s="31" t="s">
        <v>8</v>
      </c>
      <c r="D375" s="32"/>
    </row>
    <row r="376" spans="1:4" ht="42.75" customHeight="1" thickBot="1" x14ac:dyDescent="0.6">
      <c r="A376" s="62" t="s">
        <v>9</v>
      </c>
      <c r="B376" s="63"/>
      <c r="C376" s="63"/>
      <c r="D376" s="64"/>
    </row>
    <row r="377" spans="1:4" ht="42.75" customHeight="1" thickBot="1" x14ac:dyDescent="0.6">
      <c r="A377" s="65" t="s">
        <v>10</v>
      </c>
      <c r="B377" s="66"/>
      <c r="C377" s="66"/>
      <c r="D377" s="67"/>
    </row>
    <row r="378" spans="1:4" ht="42.75" customHeight="1" thickBot="1" x14ac:dyDescent="0.6">
      <c r="A378" s="68" t="s">
        <v>11</v>
      </c>
      <c r="B378" s="69"/>
      <c r="C378" s="69"/>
      <c r="D378" s="70"/>
    </row>
    <row r="379" spans="1:4" ht="42.75" customHeight="1" thickBot="1" x14ac:dyDescent="0.6">
      <c r="A379" s="71" t="s">
        <v>13</v>
      </c>
      <c r="B379" s="72"/>
      <c r="C379" s="72"/>
      <c r="D379" s="73"/>
    </row>
    <row r="380" spans="1:4" ht="42.75" customHeight="1" thickBot="1" x14ac:dyDescent="0.6">
      <c r="A380" s="10" t="s">
        <v>15</v>
      </c>
      <c r="B380" s="11"/>
      <c r="C380" s="12" t="s">
        <v>14</v>
      </c>
      <c r="D380" s="11"/>
    </row>
    <row r="381" spans="1:4" ht="42.75" customHeight="1" thickBot="1" x14ac:dyDescent="0.6">
      <c r="A381" s="74" t="s">
        <v>17</v>
      </c>
      <c r="B381" s="15" t="s">
        <v>0</v>
      </c>
      <c r="C381" s="16" t="s">
        <v>16</v>
      </c>
      <c r="D381" s="17"/>
    </row>
    <row r="382" spans="1:4" ht="42.75" customHeight="1" thickBot="1" x14ac:dyDescent="0.6">
      <c r="A382" s="15"/>
      <c r="B382" s="15" t="s">
        <v>1</v>
      </c>
      <c r="C382" s="20" t="s">
        <v>18</v>
      </c>
      <c r="D382" s="21" t="s">
        <v>2</v>
      </c>
    </row>
    <row r="383" spans="1:4" ht="42.75" customHeight="1" thickBot="1" x14ac:dyDescent="0.6">
      <c r="A383" s="23">
        <v>1050</v>
      </c>
      <c r="B383" s="24"/>
      <c r="C383" s="25" t="s">
        <v>3</v>
      </c>
      <c r="D383" s="26"/>
    </row>
    <row r="384" spans="1:4" ht="42.75" customHeight="1" thickBot="1" x14ac:dyDescent="0.6">
      <c r="A384" s="23">
        <v>1100</v>
      </c>
      <c r="B384" s="24"/>
      <c r="C384" s="31" t="s">
        <v>4</v>
      </c>
      <c r="D384" s="32"/>
    </row>
    <row r="385" spans="1:4" ht="42.75" customHeight="1" thickBot="1" x14ac:dyDescent="0.7">
      <c r="A385" s="34">
        <f>A384-A383</f>
        <v>50</v>
      </c>
      <c r="B385" s="35"/>
      <c r="C385" s="36" t="s">
        <v>5</v>
      </c>
      <c r="D385" s="32"/>
    </row>
    <row r="386" spans="1:4" ht="42.75" customHeight="1" thickBot="1" x14ac:dyDescent="0.6">
      <c r="A386" s="38">
        <v>60</v>
      </c>
      <c r="B386" s="39"/>
      <c r="C386" s="31" t="s">
        <v>6</v>
      </c>
      <c r="D386" s="32"/>
    </row>
    <row r="387" spans="1:4" ht="42.75" customHeight="1" thickBot="1" x14ac:dyDescent="0.6">
      <c r="A387" s="40"/>
      <c r="B387" s="41"/>
      <c r="C387" s="31" t="s">
        <v>7</v>
      </c>
      <c r="D387" s="32"/>
    </row>
    <row r="388" spans="1:4" ht="42.75" customHeight="1" thickBot="1" x14ac:dyDescent="0.6">
      <c r="A388" s="42">
        <f>A386*A385</f>
        <v>3000</v>
      </c>
      <c r="B388" s="43"/>
      <c r="C388" s="31" t="s">
        <v>8</v>
      </c>
      <c r="D388" s="32"/>
    </row>
    <row r="389" spans="1:4" ht="42.75" customHeight="1" thickBot="1" x14ac:dyDescent="0.6">
      <c r="A389" s="62" t="s">
        <v>9</v>
      </c>
      <c r="B389" s="63"/>
      <c r="C389" s="63"/>
      <c r="D389" s="64"/>
    </row>
    <row r="390" spans="1:4" ht="42.75" customHeight="1" thickBot="1" x14ac:dyDescent="0.6">
      <c r="A390" s="65" t="s">
        <v>10</v>
      </c>
      <c r="B390" s="66"/>
      <c r="C390" s="66"/>
      <c r="D390" s="67"/>
    </row>
    <row r="391" spans="1:4" ht="42.75" customHeight="1" thickBot="1" x14ac:dyDescent="0.6">
      <c r="A391" s="68" t="s">
        <v>11</v>
      </c>
      <c r="B391" s="69"/>
      <c r="C391" s="69"/>
      <c r="D391" s="70"/>
    </row>
    <row r="392" spans="1:4" ht="42.75" customHeight="1" thickBot="1" x14ac:dyDescent="0.6">
      <c r="A392" s="53"/>
      <c r="B392" s="53"/>
      <c r="C392" s="53"/>
      <c r="D392" s="53"/>
    </row>
    <row r="393" spans="1:4" ht="42.75" customHeight="1" thickBot="1" x14ac:dyDescent="0.6">
      <c r="A393" s="71" t="s">
        <v>13</v>
      </c>
      <c r="B393" s="72"/>
      <c r="C393" s="72"/>
      <c r="D393" s="73"/>
    </row>
    <row r="394" spans="1:4" ht="42.75" customHeight="1" thickBot="1" x14ac:dyDescent="0.6">
      <c r="A394" s="10" t="s">
        <v>15</v>
      </c>
      <c r="B394" s="11"/>
      <c r="C394" s="12" t="s">
        <v>14</v>
      </c>
      <c r="D394" s="11"/>
    </row>
    <row r="395" spans="1:4" ht="42.75" customHeight="1" thickBot="1" x14ac:dyDescent="0.6">
      <c r="A395" s="74" t="s">
        <v>17</v>
      </c>
      <c r="B395" s="15" t="s">
        <v>0</v>
      </c>
      <c r="C395" s="16" t="s">
        <v>16</v>
      </c>
      <c r="D395" s="17"/>
    </row>
    <row r="396" spans="1:4" ht="42.75" customHeight="1" thickBot="1" x14ac:dyDescent="0.6">
      <c r="A396" s="15"/>
      <c r="B396" s="15" t="s">
        <v>1</v>
      </c>
      <c r="C396" s="20" t="s">
        <v>18</v>
      </c>
      <c r="D396" s="21" t="s">
        <v>2</v>
      </c>
    </row>
    <row r="397" spans="1:4" ht="42.75" customHeight="1" thickBot="1" x14ac:dyDescent="0.6">
      <c r="A397" s="23">
        <v>1050</v>
      </c>
      <c r="B397" s="24"/>
      <c r="C397" s="25" t="s">
        <v>3</v>
      </c>
      <c r="D397" s="26"/>
    </row>
    <row r="398" spans="1:4" ht="42.75" customHeight="1" thickBot="1" x14ac:dyDescent="0.6">
      <c r="A398" s="23">
        <v>1100</v>
      </c>
      <c r="B398" s="24"/>
      <c r="C398" s="31" t="s">
        <v>4</v>
      </c>
      <c r="D398" s="32"/>
    </row>
    <row r="399" spans="1:4" ht="42.75" customHeight="1" thickBot="1" x14ac:dyDescent="0.7">
      <c r="A399" s="34">
        <f>A398-A397</f>
        <v>50</v>
      </c>
      <c r="B399" s="35"/>
      <c r="C399" s="36" t="s">
        <v>5</v>
      </c>
      <c r="D399" s="32"/>
    </row>
    <row r="400" spans="1:4" ht="42.75" customHeight="1" thickBot="1" x14ac:dyDescent="0.6">
      <c r="A400" s="38">
        <v>60</v>
      </c>
      <c r="B400" s="39"/>
      <c r="C400" s="31" t="s">
        <v>6</v>
      </c>
      <c r="D400" s="32"/>
    </row>
    <row r="401" spans="1:4" ht="42.75" customHeight="1" thickBot="1" x14ac:dyDescent="0.6">
      <c r="A401" s="40"/>
      <c r="B401" s="41"/>
      <c r="C401" s="31" t="s">
        <v>7</v>
      </c>
      <c r="D401" s="32"/>
    </row>
    <row r="402" spans="1:4" ht="42.75" customHeight="1" thickBot="1" x14ac:dyDescent="0.6">
      <c r="A402" s="42">
        <f>A400*A399</f>
        <v>3000</v>
      </c>
      <c r="B402" s="43"/>
      <c r="C402" s="31" t="s">
        <v>8</v>
      </c>
      <c r="D402" s="32"/>
    </row>
    <row r="403" spans="1:4" ht="42.75" customHeight="1" thickBot="1" x14ac:dyDescent="0.6">
      <c r="A403" s="62" t="s">
        <v>9</v>
      </c>
      <c r="B403" s="63"/>
      <c r="C403" s="63"/>
      <c r="D403" s="64"/>
    </row>
    <row r="404" spans="1:4" ht="42.75" customHeight="1" thickBot="1" x14ac:dyDescent="0.6">
      <c r="A404" s="65" t="s">
        <v>10</v>
      </c>
      <c r="B404" s="66"/>
      <c r="C404" s="66"/>
      <c r="D404" s="67"/>
    </row>
    <row r="405" spans="1:4" ht="42.75" customHeight="1" thickBot="1" x14ac:dyDescent="0.6">
      <c r="A405" s="68" t="s">
        <v>11</v>
      </c>
      <c r="B405" s="69"/>
      <c r="C405" s="69"/>
      <c r="D405" s="70"/>
    </row>
    <row r="406" spans="1:4" ht="42.75" customHeight="1" thickBot="1" x14ac:dyDescent="0.6">
      <c r="A406" s="71" t="s">
        <v>13</v>
      </c>
      <c r="B406" s="72"/>
      <c r="C406" s="72"/>
      <c r="D406" s="73"/>
    </row>
    <row r="407" spans="1:4" ht="42.75" customHeight="1" thickBot="1" x14ac:dyDescent="0.6">
      <c r="A407" s="10" t="s">
        <v>15</v>
      </c>
      <c r="B407" s="11"/>
      <c r="C407" s="12" t="s">
        <v>14</v>
      </c>
      <c r="D407" s="11"/>
    </row>
    <row r="408" spans="1:4" ht="42.75" customHeight="1" thickBot="1" x14ac:dyDescent="0.6">
      <c r="A408" s="74" t="s">
        <v>17</v>
      </c>
      <c r="B408" s="15" t="s">
        <v>0</v>
      </c>
      <c r="C408" s="16" t="s">
        <v>16</v>
      </c>
      <c r="D408" s="17"/>
    </row>
    <row r="409" spans="1:4" ht="42.75" customHeight="1" thickBot="1" x14ac:dyDescent="0.6">
      <c r="A409" s="15"/>
      <c r="B409" s="15" t="s">
        <v>1</v>
      </c>
      <c r="C409" s="20" t="s">
        <v>18</v>
      </c>
      <c r="D409" s="21" t="s">
        <v>2</v>
      </c>
    </row>
    <row r="410" spans="1:4" ht="42.75" customHeight="1" thickBot="1" x14ac:dyDescent="0.6">
      <c r="A410" s="23">
        <v>1050</v>
      </c>
      <c r="B410" s="24"/>
      <c r="C410" s="25" t="s">
        <v>3</v>
      </c>
      <c r="D410" s="26"/>
    </row>
    <row r="411" spans="1:4" ht="42.75" customHeight="1" thickBot="1" x14ac:dyDescent="0.6">
      <c r="A411" s="23">
        <v>1100</v>
      </c>
      <c r="B411" s="24"/>
      <c r="C411" s="31" t="s">
        <v>4</v>
      </c>
      <c r="D411" s="32"/>
    </row>
    <row r="412" spans="1:4" ht="42.75" customHeight="1" thickBot="1" x14ac:dyDescent="0.7">
      <c r="A412" s="34">
        <f>A411-A410</f>
        <v>50</v>
      </c>
      <c r="B412" s="35"/>
      <c r="C412" s="36" t="s">
        <v>5</v>
      </c>
      <c r="D412" s="32"/>
    </row>
    <row r="413" spans="1:4" ht="42.75" customHeight="1" thickBot="1" x14ac:dyDescent="0.6">
      <c r="A413" s="38">
        <v>60</v>
      </c>
      <c r="B413" s="39"/>
      <c r="C413" s="31" t="s">
        <v>6</v>
      </c>
      <c r="D413" s="32"/>
    </row>
    <row r="414" spans="1:4" ht="42.75" customHeight="1" thickBot="1" x14ac:dyDescent="0.6">
      <c r="A414" s="40"/>
      <c r="B414" s="41"/>
      <c r="C414" s="31" t="s">
        <v>7</v>
      </c>
      <c r="D414" s="32"/>
    </row>
    <row r="415" spans="1:4" ht="42.75" customHeight="1" thickBot="1" x14ac:dyDescent="0.6">
      <c r="A415" s="42">
        <f>A413*A412</f>
        <v>3000</v>
      </c>
      <c r="B415" s="43"/>
      <c r="C415" s="31" t="s">
        <v>8</v>
      </c>
      <c r="D415" s="32"/>
    </row>
    <row r="416" spans="1:4" ht="42.75" customHeight="1" thickBot="1" x14ac:dyDescent="0.6">
      <c r="A416" s="62" t="s">
        <v>9</v>
      </c>
      <c r="B416" s="63"/>
      <c r="C416" s="63"/>
      <c r="D416" s="64"/>
    </row>
    <row r="417" spans="1:4" ht="42.75" customHeight="1" thickBot="1" x14ac:dyDescent="0.6">
      <c r="A417" s="65" t="s">
        <v>10</v>
      </c>
      <c r="B417" s="66"/>
      <c r="C417" s="66"/>
      <c r="D417" s="67"/>
    </row>
    <row r="418" spans="1:4" ht="42.75" customHeight="1" thickBot="1" x14ac:dyDescent="0.6">
      <c r="A418" s="68" t="s">
        <v>11</v>
      </c>
      <c r="B418" s="69"/>
      <c r="C418" s="69"/>
      <c r="D418" s="70"/>
    </row>
    <row r="419" spans="1:4" ht="42.75" customHeight="1" thickBot="1" x14ac:dyDescent="0.6">
      <c r="A419" s="53"/>
      <c r="B419" s="53"/>
      <c r="C419" s="53"/>
      <c r="D419" s="53"/>
    </row>
    <row r="420" spans="1:4" ht="42.75" customHeight="1" thickBot="1" x14ac:dyDescent="0.6">
      <c r="A420" s="71" t="s">
        <v>13</v>
      </c>
      <c r="B420" s="72"/>
      <c r="C420" s="72"/>
      <c r="D420" s="73"/>
    </row>
    <row r="421" spans="1:4" ht="42.75" customHeight="1" thickBot="1" x14ac:dyDescent="0.6">
      <c r="A421" s="10" t="s">
        <v>15</v>
      </c>
      <c r="B421" s="11"/>
      <c r="C421" s="12" t="s">
        <v>14</v>
      </c>
      <c r="D421" s="11"/>
    </row>
    <row r="422" spans="1:4" ht="42.75" customHeight="1" thickBot="1" x14ac:dyDescent="0.6">
      <c r="A422" s="74" t="s">
        <v>17</v>
      </c>
      <c r="B422" s="15" t="s">
        <v>0</v>
      </c>
      <c r="C422" s="16" t="s">
        <v>16</v>
      </c>
      <c r="D422" s="17"/>
    </row>
    <row r="423" spans="1:4" ht="42.75" customHeight="1" thickBot="1" x14ac:dyDescent="0.6">
      <c r="A423" s="15"/>
      <c r="B423" s="15" t="s">
        <v>1</v>
      </c>
      <c r="C423" s="20" t="s">
        <v>18</v>
      </c>
      <c r="D423" s="21" t="s">
        <v>2</v>
      </c>
    </row>
    <row r="424" spans="1:4" ht="42.75" customHeight="1" thickBot="1" x14ac:dyDescent="0.6">
      <c r="A424" s="23">
        <v>1050</v>
      </c>
      <c r="B424" s="24"/>
      <c r="C424" s="25" t="s">
        <v>3</v>
      </c>
      <c r="D424" s="26"/>
    </row>
    <row r="425" spans="1:4" ht="42.75" customHeight="1" thickBot="1" x14ac:dyDescent="0.6">
      <c r="A425" s="23">
        <v>1100</v>
      </c>
      <c r="B425" s="24"/>
      <c r="C425" s="31" t="s">
        <v>4</v>
      </c>
      <c r="D425" s="32"/>
    </row>
    <row r="426" spans="1:4" ht="42.75" customHeight="1" thickBot="1" x14ac:dyDescent="0.7">
      <c r="A426" s="34">
        <f>A425-A424</f>
        <v>50</v>
      </c>
      <c r="B426" s="35"/>
      <c r="C426" s="36" t="s">
        <v>5</v>
      </c>
      <c r="D426" s="32"/>
    </row>
    <row r="427" spans="1:4" ht="42.75" customHeight="1" thickBot="1" x14ac:dyDescent="0.6">
      <c r="A427" s="38">
        <v>60</v>
      </c>
      <c r="B427" s="39"/>
      <c r="C427" s="31" t="s">
        <v>6</v>
      </c>
      <c r="D427" s="32"/>
    </row>
    <row r="428" spans="1:4" ht="42.75" customHeight="1" thickBot="1" x14ac:dyDescent="0.6">
      <c r="A428" s="40"/>
      <c r="B428" s="41"/>
      <c r="C428" s="31" t="s">
        <v>7</v>
      </c>
      <c r="D428" s="32"/>
    </row>
    <row r="429" spans="1:4" ht="42.75" customHeight="1" thickBot="1" x14ac:dyDescent="0.6">
      <c r="A429" s="42">
        <f>A427*A426</f>
        <v>3000</v>
      </c>
      <c r="B429" s="43"/>
      <c r="C429" s="31" t="s">
        <v>8</v>
      </c>
      <c r="D429" s="32"/>
    </row>
    <row r="430" spans="1:4" ht="42.75" customHeight="1" thickBot="1" x14ac:dyDescent="0.6">
      <c r="A430" s="62" t="s">
        <v>9</v>
      </c>
      <c r="B430" s="63"/>
      <c r="C430" s="63"/>
      <c r="D430" s="64"/>
    </row>
    <row r="431" spans="1:4" ht="42.75" customHeight="1" thickBot="1" x14ac:dyDescent="0.6">
      <c r="A431" s="65" t="s">
        <v>10</v>
      </c>
      <c r="B431" s="66"/>
      <c r="C431" s="66"/>
      <c r="D431" s="67"/>
    </row>
    <row r="432" spans="1:4" ht="42.75" customHeight="1" thickBot="1" x14ac:dyDescent="0.6">
      <c r="A432" s="68" t="s">
        <v>11</v>
      </c>
      <c r="B432" s="69"/>
      <c r="C432" s="69"/>
      <c r="D432" s="70"/>
    </row>
    <row r="433" spans="1:4" ht="42.75" customHeight="1" thickBot="1" x14ac:dyDescent="0.6">
      <c r="A433" s="71" t="s">
        <v>13</v>
      </c>
      <c r="B433" s="72"/>
      <c r="C433" s="72"/>
      <c r="D433" s="73"/>
    </row>
    <row r="434" spans="1:4" ht="42.75" customHeight="1" thickBot="1" x14ac:dyDescent="0.6">
      <c r="A434" s="10" t="s">
        <v>15</v>
      </c>
      <c r="B434" s="11"/>
      <c r="C434" s="12" t="s">
        <v>14</v>
      </c>
      <c r="D434" s="11"/>
    </row>
    <row r="435" spans="1:4" ht="42.75" customHeight="1" thickBot="1" x14ac:dyDescent="0.6">
      <c r="A435" s="74" t="s">
        <v>17</v>
      </c>
      <c r="B435" s="15" t="s">
        <v>0</v>
      </c>
      <c r="C435" s="16" t="s">
        <v>16</v>
      </c>
      <c r="D435" s="17"/>
    </row>
    <row r="436" spans="1:4" ht="42.75" customHeight="1" thickBot="1" x14ac:dyDescent="0.6">
      <c r="A436" s="15"/>
      <c r="B436" s="15" t="s">
        <v>1</v>
      </c>
      <c r="C436" s="20" t="s">
        <v>18</v>
      </c>
      <c r="D436" s="21" t="s">
        <v>2</v>
      </c>
    </row>
    <row r="437" spans="1:4" ht="42.75" customHeight="1" thickBot="1" x14ac:dyDescent="0.6">
      <c r="A437" s="23">
        <v>1050</v>
      </c>
      <c r="B437" s="24"/>
      <c r="C437" s="25" t="s">
        <v>3</v>
      </c>
      <c r="D437" s="26"/>
    </row>
    <row r="438" spans="1:4" ht="42.75" customHeight="1" thickBot="1" x14ac:dyDescent="0.6">
      <c r="A438" s="23">
        <v>1100</v>
      </c>
      <c r="B438" s="24"/>
      <c r="C438" s="31" t="s">
        <v>4</v>
      </c>
      <c r="D438" s="32"/>
    </row>
    <row r="439" spans="1:4" ht="42.75" customHeight="1" thickBot="1" x14ac:dyDescent="0.7">
      <c r="A439" s="34">
        <f>A438-A437</f>
        <v>50</v>
      </c>
      <c r="B439" s="35"/>
      <c r="C439" s="36" t="s">
        <v>5</v>
      </c>
      <c r="D439" s="32"/>
    </row>
    <row r="440" spans="1:4" ht="42.75" customHeight="1" thickBot="1" x14ac:dyDescent="0.6">
      <c r="A440" s="38">
        <v>60</v>
      </c>
      <c r="B440" s="39"/>
      <c r="C440" s="31" t="s">
        <v>6</v>
      </c>
      <c r="D440" s="32"/>
    </row>
    <row r="441" spans="1:4" ht="42.75" customHeight="1" thickBot="1" x14ac:dyDescent="0.6">
      <c r="A441" s="40"/>
      <c r="B441" s="41"/>
      <c r="C441" s="31" t="s">
        <v>7</v>
      </c>
      <c r="D441" s="32"/>
    </row>
    <row r="442" spans="1:4" ht="42.75" customHeight="1" thickBot="1" x14ac:dyDescent="0.6">
      <c r="A442" s="42">
        <f>A440*A439</f>
        <v>3000</v>
      </c>
      <c r="B442" s="43"/>
      <c r="C442" s="31" t="s">
        <v>8</v>
      </c>
      <c r="D442" s="32"/>
    </row>
    <row r="443" spans="1:4" ht="42.75" customHeight="1" thickBot="1" x14ac:dyDescent="0.6">
      <c r="A443" s="62" t="s">
        <v>9</v>
      </c>
      <c r="B443" s="63"/>
      <c r="C443" s="63"/>
      <c r="D443" s="64"/>
    </row>
    <row r="444" spans="1:4" ht="42.75" customHeight="1" thickBot="1" x14ac:dyDescent="0.6">
      <c r="A444" s="65" t="s">
        <v>10</v>
      </c>
      <c r="B444" s="66"/>
      <c r="C444" s="66"/>
      <c r="D444" s="67"/>
    </row>
    <row r="445" spans="1:4" ht="42.75" customHeight="1" thickBot="1" x14ac:dyDescent="0.6">
      <c r="A445" s="68" t="s">
        <v>11</v>
      </c>
      <c r="B445" s="69"/>
      <c r="C445" s="69"/>
      <c r="D445" s="70"/>
    </row>
    <row r="446" spans="1:4" ht="42.75" customHeight="1" thickBot="1" x14ac:dyDescent="0.6">
      <c r="A446" s="53"/>
      <c r="B446" s="53"/>
      <c r="C446" s="53"/>
      <c r="D446" s="53"/>
    </row>
    <row r="447" spans="1:4" ht="42.75" customHeight="1" thickBot="1" x14ac:dyDescent="0.6">
      <c r="A447" s="71" t="s">
        <v>13</v>
      </c>
      <c r="B447" s="72"/>
      <c r="C447" s="72"/>
      <c r="D447" s="73"/>
    </row>
    <row r="448" spans="1:4" ht="42.75" customHeight="1" thickBot="1" x14ac:dyDescent="0.6">
      <c r="A448" s="10" t="s">
        <v>15</v>
      </c>
      <c r="B448" s="11"/>
      <c r="C448" s="12" t="s">
        <v>14</v>
      </c>
      <c r="D448" s="11"/>
    </row>
    <row r="449" spans="1:4" ht="42.75" customHeight="1" thickBot="1" x14ac:dyDescent="0.6">
      <c r="A449" s="74" t="s">
        <v>17</v>
      </c>
      <c r="B449" s="15" t="s">
        <v>0</v>
      </c>
      <c r="C449" s="16" t="s">
        <v>16</v>
      </c>
      <c r="D449" s="17"/>
    </row>
    <row r="450" spans="1:4" ht="42.75" customHeight="1" thickBot="1" x14ac:dyDescent="0.6">
      <c r="A450" s="15"/>
      <c r="B450" s="15" t="s">
        <v>1</v>
      </c>
      <c r="C450" s="20" t="s">
        <v>18</v>
      </c>
      <c r="D450" s="21" t="s">
        <v>2</v>
      </c>
    </row>
    <row r="451" spans="1:4" ht="42.75" customHeight="1" thickBot="1" x14ac:dyDescent="0.6">
      <c r="A451" s="23">
        <v>1050</v>
      </c>
      <c r="B451" s="24"/>
      <c r="C451" s="25" t="s">
        <v>3</v>
      </c>
      <c r="D451" s="26"/>
    </row>
    <row r="452" spans="1:4" ht="42.75" customHeight="1" thickBot="1" x14ac:dyDescent="0.6">
      <c r="A452" s="23">
        <v>1100</v>
      </c>
      <c r="B452" s="24"/>
      <c r="C452" s="31" t="s">
        <v>4</v>
      </c>
      <c r="D452" s="32"/>
    </row>
    <row r="453" spans="1:4" ht="42.75" customHeight="1" thickBot="1" x14ac:dyDescent="0.7">
      <c r="A453" s="34">
        <f>A452-A451</f>
        <v>50</v>
      </c>
      <c r="B453" s="35"/>
      <c r="C453" s="36" t="s">
        <v>5</v>
      </c>
      <c r="D453" s="32"/>
    </row>
    <row r="454" spans="1:4" ht="42.75" customHeight="1" thickBot="1" x14ac:dyDescent="0.6">
      <c r="A454" s="38">
        <v>60</v>
      </c>
      <c r="B454" s="39"/>
      <c r="C454" s="31" t="s">
        <v>6</v>
      </c>
      <c r="D454" s="32"/>
    </row>
    <row r="455" spans="1:4" ht="42.75" customHeight="1" thickBot="1" x14ac:dyDescent="0.6">
      <c r="A455" s="40"/>
      <c r="B455" s="41"/>
      <c r="C455" s="31" t="s">
        <v>7</v>
      </c>
      <c r="D455" s="32"/>
    </row>
    <row r="456" spans="1:4" ht="42.75" customHeight="1" thickBot="1" x14ac:dyDescent="0.6">
      <c r="A456" s="42">
        <f>A454*A453</f>
        <v>3000</v>
      </c>
      <c r="B456" s="43"/>
      <c r="C456" s="31" t="s">
        <v>8</v>
      </c>
      <c r="D456" s="32"/>
    </row>
    <row r="457" spans="1:4" ht="42.75" customHeight="1" thickBot="1" x14ac:dyDescent="0.6">
      <c r="A457" s="62" t="s">
        <v>9</v>
      </c>
      <c r="B457" s="63"/>
      <c r="C457" s="63"/>
      <c r="D457" s="64"/>
    </row>
    <row r="458" spans="1:4" ht="42.75" customHeight="1" thickBot="1" x14ac:dyDescent="0.6">
      <c r="A458" s="65" t="s">
        <v>10</v>
      </c>
      <c r="B458" s="66"/>
      <c r="C458" s="66"/>
      <c r="D458" s="67"/>
    </row>
    <row r="459" spans="1:4" ht="42.75" customHeight="1" thickBot="1" x14ac:dyDescent="0.6">
      <c r="A459" s="68" t="s">
        <v>11</v>
      </c>
      <c r="B459" s="69"/>
      <c r="C459" s="69"/>
      <c r="D459" s="70"/>
    </row>
    <row r="460" spans="1:4" ht="42.75" customHeight="1" thickBot="1" x14ac:dyDescent="0.6">
      <c r="A460" s="71" t="s">
        <v>13</v>
      </c>
      <c r="B460" s="72"/>
      <c r="C460" s="72"/>
      <c r="D460" s="73"/>
    </row>
    <row r="461" spans="1:4" ht="42.75" customHeight="1" thickBot="1" x14ac:dyDescent="0.6">
      <c r="A461" s="10" t="s">
        <v>15</v>
      </c>
      <c r="B461" s="11"/>
      <c r="C461" s="12" t="s">
        <v>14</v>
      </c>
      <c r="D461" s="11"/>
    </row>
    <row r="462" spans="1:4" ht="42.75" customHeight="1" thickBot="1" x14ac:dyDescent="0.6">
      <c r="A462" s="74" t="s">
        <v>17</v>
      </c>
      <c r="B462" s="15" t="s">
        <v>0</v>
      </c>
      <c r="C462" s="16" t="s">
        <v>16</v>
      </c>
      <c r="D462" s="17"/>
    </row>
    <row r="463" spans="1:4" ht="42.75" customHeight="1" thickBot="1" x14ac:dyDescent="0.6">
      <c r="A463" s="15"/>
      <c r="B463" s="15" t="s">
        <v>1</v>
      </c>
      <c r="C463" s="20" t="s">
        <v>18</v>
      </c>
      <c r="D463" s="21" t="s">
        <v>2</v>
      </c>
    </row>
    <row r="464" spans="1:4" ht="42.75" customHeight="1" thickBot="1" x14ac:dyDescent="0.6">
      <c r="A464" s="23">
        <v>1050</v>
      </c>
      <c r="B464" s="24"/>
      <c r="C464" s="25" t="s">
        <v>3</v>
      </c>
      <c r="D464" s="26"/>
    </row>
    <row r="465" spans="1:4" ht="42.75" customHeight="1" thickBot="1" x14ac:dyDescent="0.6">
      <c r="A465" s="23">
        <v>1100</v>
      </c>
      <c r="B465" s="24"/>
      <c r="C465" s="31" t="s">
        <v>4</v>
      </c>
      <c r="D465" s="32"/>
    </row>
    <row r="466" spans="1:4" ht="42.75" customHeight="1" thickBot="1" x14ac:dyDescent="0.7">
      <c r="A466" s="34">
        <f>A465-A464</f>
        <v>50</v>
      </c>
      <c r="B466" s="35"/>
      <c r="C466" s="36" t="s">
        <v>5</v>
      </c>
      <c r="D466" s="32"/>
    </row>
    <row r="467" spans="1:4" ht="42.75" customHeight="1" thickBot="1" x14ac:dyDescent="0.6">
      <c r="A467" s="38">
        <v>60</v>
      </c>
      <c r="B467" s="39"/>
      <c r="C467" s="31" t="s">
        <v>6</v>
      </c>
      <c r="D467" s="32"/>
    </row>
    <row r="468" spans="1:4" ht="42.75" customHeight="1" thickBot="1" x14ac:dyDescent="0.6">
      <c r="A468" s="40"/>
      <c r="B468" s="41"/>
      <c r="C468" s="31" t="s">
        <v>7</v>
      </c>
      <c r="D468" s="32"/>
    </row>
    <row r="469" spans="1:4" ht="42.75" customHeight="1" thickBot="1" x14ac:dyDescent="0.6">
      <c r="A469" s="42">
        <f>A467*A466</f>
        <v>3000</v>
      </c>
      <c r="B469" s="43"/>
      <c r="C469" s="31" t="s">
        <v>8</v>
      </c>
      <c r="D469" s="32"/>
    </row>
    <row r="470" spans="1:4" ht="42.75" customHeight="1" thickBot="1" x14ac:dyDescent="0.6">
      <c r="A470" s="62" t="s">
        <v>9</v>
      </c>
      <c r="B470" s="63"/>
      <c r="C470" s="63"/>
      <c r="D470" s="64"/>
    </row>
    <row r="471" spans="1:4" ht="42.75" customHeight="1" thickBot="1" x14ac:dyDescent="0.6">
      <c r="A471" s="65" t="s">
        <v>10</v>
      </c>
      <c r="B471" s="66"/>
      <c r="C471" s="66"/>
      <c r="D471" s="67"/>
    </row>
    <row r="472" spans="1:4" ht="42.75" customHeight="1" thickBot="1" x14ac:dyDescent="0.6">
      <c r="A472" s="68" t="s">
        <v>11</v>
      </c>
      <c r="B472" s="69"/>
      <c r="C472" s="69"/>
      <c r="D472" s="70"/>
    </row>
    <row r="473" spans="1:4" ht="42.75" customHeight="1" thickBot="1" x14ac:dyDescent="0.6">
      <c r="A473" s="53"/>
      <c r="B473" s="53"/>
      <c r="C473" s="53"/>
      <c r="D473" s="53"/>
    </row>
    <row r="474" spans="1:4" ht="42.75" customHeight="1" thickBot="1" x14ac:dyDescent="0.6">
      <c r="A474" s="71" t="s">
        <v>13</v>
      </c>
      <c r="B474" s="72"/>
      <c r="C474" s="72"/>
      <c r="D474" s="73"/>
    </row>
    <row r="475" spans="1:4" ht="42.75" customHeight="1" thickBot="1" x14ac:dyDescent="0.6">
      <c r="A475" s="10" t="s">
        <v>15</v>
      </c>
      <c r="B475" s="11"/>
      <c r="C475" s="12" t="s">
        <v>14</v>
      </c>
      <c r="D475" s="11"/>
    </row>
    <row r="476" spans="1:4" ht="42.75" customHeight="1" thickBot="1" x14ac:dyDescent="0.6">
      <c r="A476" s="74" t="s">
        <v>17</v>
      </c>
      <c r="B476" s="15" t="s">
        <v>0</v>
      </c>
      <c r="C476" s="16" t="s">
        <v>16</v>
      </c>
      <c r="D476" s="17"/>
    </row>
    <row r="477" spans="1:4" ht="42.75" customHeight="1" thickBot="1" x14ac:dyDescent="0.6">
      <c r="A477" s="15"/>
      <c r="B477" s="15" t="s">
        <v>1</v>
      </c>
      <c r="C477" s="20" t="s">
        <v>18</v>
      </c>
      <c r="D477" s="21" t="s">
        <v>2</v>
      </c>
    </row>
    <row r="478" spans="1:4" ht="42.75" customHeight="1" thickBot="1" x14ac:dyDescent="0.6">
      <c r="A478" s="23">
        <v>1050</v>
      </c>
      <c r="B478" s="24"/>
      <c r="C478" s="25" t="s">
        <v>3</v>
      </c>
      <c r="D478" s="26"/>
    </row>
    <row r="479" spans="1:4" ht="42.75" customHeight="1" thickBot="1" x14ac:dyDescent="0.6">
      <c r="A479" s="23">
        <v>1100</v>
      </c>
      <c r="B479" s="24"/>
      <c r="C479" s="31" t="s">
        <v>4</v>
      </c>
      <c r="D479" s="32"/>
    </row>
    <row r="480" spans="1:4" ht="42.75" customHeight="1" thickBot="1" x14ac:dyDescent="0.7">
      <c r="A480" s="34">
        <f>A479-A478</f>
        <v>50</v>
      </c>
      <c r="B480" s="35"/>
      <c r="C480" s="36" t="s">
        <v>5</v>
      </c>
      <c r="D480" s="32"/>
    </row>
    <row r="481" spans="1:4" ht="42.75" customHeight="1" thickBot="1" x14ac:dyDescent="0.6">
      <c r="A481" s="38">
        <v>60</v>
      </c>
      <c r="B481" s="39"/>
      <c r="C481" s="31" t="s">
        <v>6</v>
      </c>
      <c r="D481" s="32"/>
    </row>
    <row r="482" spans="1:4" ht="42.75" customHeight="1" thickBot="1" x14ac:dyDescent="0.6">
      <c r="A482" s="40"/>
      <c r="B482" s="41"/>
      <c r="C482" s="31" t="s">
        <v>7</v>
      </c>
      <c r="D482" s="32"/>
    </row>
    <row r="483" spans="1:4" ht="42.75" customHeight="1" thickBot="1" x14ac:dyDescent="0.6">
      <c r="A483" s="42">
        <f>A481*A480</f>
        <v>3000</v>
      </c>
      <c r="B483" s="43"/>
      <c r="C483" s="31" t="s">
        <v>8</v>
      </c>
      <c r="D483" s="32"/>
    </row>
    <row r="484" spans="1:4" ht="42.75" customHeight="1" thickBot="1" x14ac:dyDescent="0.6">
      <c r="A484" s="62" t="s">
        <v>9</v>
      </c>
      <c r="B484" s="63"/>
      <c r="C484" s="63"/>
      <c r="D484" s="64"/>
    </row>
    <row r="485" spans="1:4" ht="42.75" customHeight="1" thickBot="1" x14ac:dyDescent="0.6">
      <c r="A485" s="65" t="s">
        <v>10</v>
      </c>
      <c r="B485" s="66"/>
      <c r="C485" s="66"/>
      <c r="D485" s="67"/>
    </row>
    <row r="486" spans="1:4" ht="42.75" customHeight="1" thickBot="1" x14ac:dyDescent="0.6">
      <c r="A486" s="68" t="s">
        <v>11</v>
      </c>
      <c r="B486" s="69"/>
      <c r="C486" s="69"/>
      <c r="D486" s="70"/>
    </row>
    <row r="487" spans="1:4" ht="42.75" customHeight="1" thickBot="1" x14ac:dyDescent="0.6">
      <c r="A487" s="1"/>
      <c r="B487" s="2"/>
      <c r="C487" s="2"/>
      <c r="D487" s="3"/>
    </row>
    <row r="488" spans="1:4" ht="42.75" customHeight="1" thickBot="1" x14ac:dyDescent="0.6">
      <c r="A488" s="10"/>
      <c r="B488" s="11"/>
      <c r="C488" s="12"/>
      <c r="D488" s="11"/>
    </row>
    <row r="489" spans="1:4" ht="42.75" customHeight="1" thickBot="1" x14ac:dyDescent="0.6">
      <c r="A489" s="14"/>
      <c r="B489" s="15"/>
      <c r="C489" s="16"/>
      <c r="D489" s="17"/>
    </row>
    <row r="490" spans="1:4" ht="42.75" customHeight="1" thickBot="1" x14ac:dyDescent="0.6">
      <c r="A490" s="15"/>
      <c r="B490" s="15"/>
      <c r="C490" s="20"/>
      <c r="D490" s="21"/>
    </row>
    <row r="491" spans="1:4" ht="42.75" customHeight="1" thickBot="1" x14ac:dyDescent="0.6">
      <c r="A491" s="23"/>
      <c r="B491" s="24"/>
      <c r="C491" s="25"/>
      <c r="D491" s="26"/>
    </row>
    <row r="492" spans="1:4" ht="42.75" customHeight="1" thickBot="1" x14ac:dyDescent="0.6">
      <c r="A492" s="23"/>
      <c r="B492" s="24"/>
      <c r="C492" s="31"/>
      <c r="D492" s="32"/>
    </row>
    <row r="493" spans="1:4" ht="42.75" customHeight="1" thickBot="1" x14ac:dyDescent="0.7">
      <c r="A493" s="34"/>
      <c r="B493" s="35"/>
      <c r="C493" s="36"/>
      <c r="D493" s="32"/>
    </row>
    <row r="494" spans="1:4" ht="42.75" customHeight="1" thickBot="1" x14ac:dyDescent="0.6">
      <c r="A494" s="38"/>
      <c r="B494" s="39"/>
      <c r="C494" s="31"/>
      <c r="D494" s="32"/>
    </row>
    <row r="495" spans="1:4" ht="42.75" customHeight="1" thickBot="1" x14ac:dyDescent="0.6">
      <c r="A495" s="40"/>
      <c r="B495" s="41"/>
      <c r="C495" s="31"/>
      <c r="D495" s="32"/>
    </row>
    <row r="496" spans="1:4" ht="42.75" customHeight="1" thickBot="1" x14ac:dyDescent="0.6">
      <c r="A496" s="42"/>
      <c r="B496" s="43"/>
      <c r="C496" s="31"/>
      <c r="D496" s="32"/>
    </row>
    <row r="497" spans="1:4" ht="42.75" customHeight="1" thickBot="1" x14ac:dyDescent="0.6">
      <c r="A497" s="44"/>
      <c r="B497" s="45"/>
      <c r="C497" s="45"/>
      <c r="D497" s="46"/>
    </row>
    <row r="498" spans="1:4" ht="42.75" customHeight="1" thickBot="1" x14ac:dyDescent="0.6">
      <c r="A498" s="47"/>
      <c r="B498" s="48"/>
      <c r="C498" s="48"/>
      <c r="D498" s="49"/>
    </row>
    <row r="499" spans="1:4" ht="42.75" customHeight="1" thickBot="1" x14ac:dyDescent="0.6">
      <c r="A499" s="50"/>
      <c r="B499" s="51"/>
      <c r="C499" s="51"/>
      <c r="D499" s="52"/>
    </row>
    <row r="500" spans="1:4" ht="42.75" customHeight="1" thickBot="1" x14ac:dyDescent="0.6">
      <c r="A500" s="53"/>
      <c r="B500" s="53"/>
      <c r="C500" s="53"/>
      <c r="D500" s="53"/>
    </row>
    <row r="501" spans="1:4" ht="42.75" customHeight="1" thickBot="1" x14ac:dyDescent="0.6">
      <c r="A501" s="1"/>
      <c r="B501" s="2"/>
      <c r="C501" s="2"/>
      <c r="D501" s="3"/>
    </row>
    <row r="502" spans="1:4" ht="42.75" customHeight="1" thickBot="1" x14ac:dyDescent="0.6">
      <c r="A502" s="10"/>
      <c r="B502" s="11"/>
      <c r="C502" s="12"/>
      <c r="D502" s="11"/>
    </row>
    <row r="503" spans="1:4" ht="42.75" customHeight="1" thickBot="1" x14ac:dyDescent="0.6">
      <c r="A503" s="14"/>
      <c r="B503" s="15"/>
      <c r="C503" s="16"/>
      <c r="D503" s="17"/>
    </row>
    <row r="504" spans="1:4" ht="42.75" customHeight="1" thickBot="1" x14ac:dyDescent="0.6">
      <c r="A504" s="15"/>
      <c r="B504" s="15"/>
      <c r="C504" s="20"/>
      <c r="D504" s="21"/>
    </row>
    <row r="505" spans="1:4" ht="42.75" customHeight="1" thickBot="1" x14ac:dyDescent="0.6">
      <c r="A505" s="23"/>
      <c r="B505" s="24"/>
      <c r="C505" s="25"/>
      <c r="D505" s="26"/>
    </row>
    <row r="506" spans="1:4" ht="42.75" customHeight="1" thickBot="1" x14ac:dyDescent="0.6">
      <c r="A506" s="23"/>
      <c r="B506" s="24"/>
      <c r="C506" s="31"/>
      <c r="D506" s="32"/>
    </row>
    <row r="507" spans="1:4" ht="42.75" customHeight="1" thickBot="1" x14ac:dyDescent="0.7">
      <c r="A507" s="34"/>
      <c r="B507" s="35"/>
      <c r="C507" s="36"/>
      <c r="D507" s="32"/>
    </row>
    <row r="508" spans="1:4" ht="42.75" customHeight="1" thickBot="1" x14ac:dyDescent="0.6">
      <c r="A508" s="38"/>
      <c r="B508" s="39"/>
      <c r="C508" s="31"/>
      <c r="D508" s="32"/>
    </row>
    <row r="509" spans="1:4" ht="42.75" customHeight="1" thickBot="1" x14ac:dyDescent="0.6">
      <c r="A509" s="40"/>
      <c r="B509" s="41"/>
      <c r="C509" s="31"/>
      <c r="D509" s="32"/>
    </row>
    <row r="510" spans="1:4" ht="42.75" customHeight="1" thickBot="1" x14ac:dyDescent="0.6">
      <c r="A510" s="42"/>
      <c r="B510" s="43"/>
      <c r="C510" s="31"/>
      <c r="D510" s="32"/>
    </row>
    <row r="511" spans="1:4" ht="42.75" customHeight="1" thickBot="1" x14ac:dyDescent="0.6">
      <c r="A511" s="44"/>
      <c r="B511" s="45"/>
      <c r="C511" s="45"/>
      <c r="D511" s="46"/>
    </row>
    <row r="512" spans="1:4" ht="42.75" customHeight="1" thickBot="1" x14ac:dyDescent="0.6">
      <c r="A512" s="56"/>
      <c r="B512" s="57"/>
      <c r="C512" s="57"/>
      <c r="D512" s="58"/>
    </row>
    <row r="513" spans="1:4" ht="42.75" customHeight="1" thickBot="1" x14ac:dyDescent="0.6">
      <c r="A513" s="50"/>
      <c r="B513" s="51"/>
      <c r="C513" s="51"/>
      <c r="D513" s="52"/>
    </row>
    <row r="514" spans="1:4" ht="42.75" customHeight="1" thickBot="1" x14ac:dyDescent="0.6">
      <c r="A514" s="1"/>
      <c r="B514" s="2"/>
      <c r="C514" s="2"/>
      <c r="D514" s="3"/>
    </row>
    <row r="515" spans="1:4" ht="42.75" customHeight="1" thickBot="1" x14ac:dyDescent="0.6">
      <c r="A515" s="10"/>
      <c r="B515" s="11"/>
      <c r="C515" s="12"/>
      <c r="D515" s="11"/>
    </row>
    <row r="516" spans="1:4" ht="42.75" customHeight="1" thickBot="1" x14ac:dyDescent="0.6">
      <c r="A516" s="14"/>
      <c r="B516" s="15"/>
      <c r="C516" s="16"/>
      <c r="D516" s="17"/>
    </row>
    <row r="517" spans="1:4" ht="42.75" customHeight="1" thickBot="1" x14ac:dyDescent="0.6">
      <c r="A517" s="15"/>
      <c r="B517" s="15"/>
      <c r="C517" s="20"/>
      <c r="D517" s="21"/>
    </row>
    <row r="518" spans="1:4" ht="42.75" customHeight="1" thickBot="1" x14ac:dyDescent="0.6">
      <c r="A518" s="23"/>
      <c r="B518" s="24"/>
      <c r="C518" s="25"/>
      <c r="D518" s="26"/>
    </row>
    <row r="519" spans="1:4" ht="42.75" customHeight="1" thickBot="1" x14ac:dyDescent="0.6">
      <c r="A519" s="23"/>
      <c r="B519" s="24"/>
      <c r="C519" s="31"/>
      <c r="D519" s="32"/>
    </row>
    <row r="520" spans="1:4" ht="42.75" customHeight="1" thickBot="1" x14ac:dyDescent="0.7">
      <c r="A520" s="34"/>
      <c r="B520" s="35"/>
      <c r="C520" s="36"/>
      <c r="D520" s="32"/>
    </row>
    <row r="521" spans="1:4" ht="42.75" customHeight="1" thickBot="1" x14ac:dyDescent="0.6">
      <c r="A521" s="38"/>
      <c r="B521" s="39"/>
      <c r="C521" s="31"/>
      <c r="D521" s="32"/>
    </row>
    <row r="522" spans="1:4" ht="42.75" customHeight="1" thickBot="1" x14ac:dyDescent="0.6">
      <c r="A522" s="40"/>
      <c r="B522" s="41"/>
      <c r="C522" s="31"/>
      <c r="D522" s="32"/>
    </row>
    <row r="523" spans="1:4" ht="42.75" customHeight="1" thickBot="1" x14ac:dyDescent="0.6">
      <c r="A523" s="42"/>
      <c r="B523" s="43"/>
      <c r="C523" s="31"/>
      <c r="D523" s="32"/>
    </row>
    <row r="524" spans="1:4" ht="42.75" customHeight="1" thickBot="1" x14ac:dyDescent="0.6">
      <c r="A524" s="44"/>
      <c r="B524" s="45"/>
      <c r="C524" s="45"/>
      <c r="D524" s="46"/>
    </row>
    <row r="525" spans="1:4" ht="42.75" customHeight="1" thickBot="1" x14ac:dyDescent="0.6">
      <c r="A525" s="47"/>
      <c r="B525" s="48"/>
      <c r="C525" s="48"/>
      <c r="D525" s="49"/>
    </row>
    <row r="526" spans="1:4" ht="42.75" customHeight="1" thickBot="1" x14ac:dyDescent="0.6">
      <c r="A526" s="50"/>
      <c r="B526" s="51"/>
      <c r="C526" s="51"/>
      <c r="D526" s="52"/>
    </row>
    <row r="527" spans="1:4" ht="42.75" customHeight="1" thickBot="1" x14ac:dyDescent="0.6">
      <c r="A527" s="53"/>
      <c r="B527" s="53"/>
      <c r="C527" s="53"/>
      <c r="D527" s="53"/>
    </row>
    <row r="528" spans="1:4" ht="42.75" customHeight="1" thickBot="1" x14ac:dyDescent="0.6">
      <c r="A528" s="1"/>
      <c r="B528" s="2"/>
      <c r="C528" s="2"/>
      <c r="D528" s="3"/>
    </row>
    <row r="529" spans="1:4" ht="42.75" customHeight="1" thickBot="1" x14ac:dyDescent="0.6">
      <c r="A529" s="10"/>
      <c r="B529" s="11"/>
      <c r="C529" s="12"/>
      <c r="D529" s="11"/>
    </row>
    <row r="530" spans="1:4" ht="42.75" customHeight="1" thickBot="1" x14ac:dyDescent="0.6">
      <c r="A530" s="14"/>
      <c r="B530" s="15"/>
      <c r="C530" s="16"/>
      <c r="D530" s="17"/>
    </row>
    <row r="531" spans="1:4" ht="42.75" customHeight="1" thickBot="1" x14ac:dyDescent="0.6">
      <c r="A531" s="15"/>
      <c r="B531" s="15"/>
      <c r="C531" s="20"/>
      <c r="D531" s="21"/>
    </row>
    <row r="532" spans="1:4" ht="42.75" customHeight="1" thickBot="1" x14ac:dyDescent="0.6">
      <c r="A532" s="23"/>
      <c r="B532" s="24"/>
      <c r="C532" s="25"/>
      <c r="D532" s="26"/>
    </row>
    <row r="533" spans="1:4" ht="42.75" customHeight="1" thickBot="1" x14ac:dyDescent="0.6">
      <c r="A533" s="23"/>
      <c r="B533" s="24"/>
      <c r="C533" s="31"/>
      <c r="D533" s="32"/>
    </row>
    <row r="534" spans="1:4" ht="42.75" customHeight="1" thickBot="1" x14ac:dyDescent="0.7">
      <c r="A534" s="34"/>
      <c r="B534" s="35"/>
      <c r="C534" s="36"/>
      <c r="D534" s="32"/>
    </row>
    <row r="535" spans="1:4" ht="42.75" customHeight="1" thickBot="1" x14ac:dyDescent="0.6">
      <c r="A535" s="38"/>
      <c r="B535" s="39"/>
      <c r="C535" s="31"/>
      <c r="D535" s="32"/>
    </row>
    <row r="536" spans="1:4" ht="42.75" customHeight="1" thickBot="1" x14ac:dyDescent="0.6">
      <c r="A536" s="40"/>
      <c r="B536" s="41"/>
      <c r="C536" s="31"/>
      <c r="D536" s="32"/>
    </row>
    <row r="537" spans="1:4" ht="42.75" customHeight="1" thickBot="1" x14ac:dyDescent="0.6">
      <c r="A537" s="42"/>
      <c r="B537" s="43"/>
      <c r="C537" s="31"/>
      <c r="D537" s="32"/>
    </row>
    <row r="538" spans="1:4" ht="42.75" customHeight="1" thickBot="1" x14ac:dyDescent="0.6">
      <c r="A538" s="44"/>
      <c r="B538" s="45"/>
      <c r="C538" s="45"/>
      <c r="D538" s="46"/>
    </row>
    <row r="539" spans="1:4" ht="42.75" customHeight="1" thickBot="1" x14ac:dyDescent="0.6">
      <c r="A539" s="56"/>
      <c r="B539" s="57"/>
      <c r="C539" s="57"/>
      <c r="D539" s="58"/>
    </row>
    <row r="540" spans="1:4" ht="42.75" customHeight="1" thickBot="1" x14ac:dyDescent="0.6">
      <c r="A540" s="50"/>
      <c r="B540" s="51"/>
      <c r="C540" s="51"/>
      <c r="D540" s="52"/>
    </row>
    <row r="541" spans="1:4" ht="42.75" customHeight="1" thickBot="1" x14ac:dyDescent="0.6">
      <c r="A541" s="1"/>
      <c r="B541" s="2"/>
      <c r="C541" s="2"/>
      <c r="D541" s="3"/>
    </row>
    <row r="542" spans="1:4" ht="42.75" customHeight="1" thickBot="1" x14ac:dyDescent="0.6">
      <c r="A542" s="10"/>
      <c r="B542" s="11"/>
      <c r="C542" s="12"/>
      <c r="D542" s="11"/>
    </row>
    <row r="543" spans="1:4" ht="42.75" customHeight="1" thickBot="1" x14ac:dyDescent="0.6">
      <c r="A543" s="14"/>
      <c r="B543" s="15"/>
      <c r="C543" s="16"/>
      <c r="D543" s="17"/>
    </row>
    <row r="544" spans="1:4" ht="42.75" customHeight="1" thickBot="1" x14ac:dyDescent="0.6">
      <c r="A544" s="15"/>
      <c r="B544" s="15"/>
      <c r="C544" s="20"/>
      <c r="D544" s="21"/>
    </row>
    <row r="545" spans="1:4" ht="42.75" customHeight="1" thickBot="1" x14ac:dyDescent="0.6">
      <c r="A545" s="23"/>
      <c r="B545" s="24"/>
      <c r="C545" s="25"/>
      <c r="D545" s="26"/>
    </row>
    <row r="546" spans="1:4" ht="42.75" customHeight="1" thickBot="1" x14ac:dyDescent="0.6">
      <c r="A546" s="23"/>
      <c r="B546" s="24"/>
      <c r="C546" s="31"/>
      <c r="D546" s="32"/>
    </row>
    <row r="547" spans="1:4" ht="42.75" customHeight="1" thickBot="1" x14ac:dyDescent="0.7">
      <c r="A547" s="34"/>
      <c r="B547" s="35"/>
      <c r="C547" s="36"/>
      <c r="D547" s="32"/>
    </row>
    <row r="548" spans="1:4" ht="42.75" customHeight="1" thickBot="1" x14ac:dyDescent="0.6">
      <c r="A548" s="38"/>
      <c r="B548" s="39"/>
      <c r="C548" s="31"/>
      <c r="D548" s="32"/>
    </row>
    <row r="549" spans="1:4" ht="42.75" customHeight="1" thickBot="1" x14ac:dyDescent="0.6">
      <c r="A549" s="40"/>
      <c r="B549" s="41"/>
      <c r="C549" s="31"/>
      <c r="D549" s="32"/>
    </row>
    <row r="550" spans="1:4" ht="42.75" customHeight="1" thickBot="1" x14ac:dyDescent="0.6">
      <c r="A550" s="42"/>
      <c r="B550" s="43"/>
      <c r="C550" s="31"/>
      <c r="D550" s="32"/>
    </row>
    <row r="551" spans="1:4" ht="42.75" customHeight="1" thickBot="1" x14ac:dyDescent="0.6">
      <c r="A551" s="44"/>
      <c r="B551" s="45"/>
      <c r="C551" s="45"/>
      <c r="D551" s="46"/>
    </row>
    <row r="552" spans="1:4" ht="42.75" customHeight="1" thickBot="1" x14ac:dyDescent="0.6">
      <c r="A552" s="47"/>
      <c r="B552" s="48"/>
      <c r="C552" s="48"/>
      <c r="D552" s="49"/>
    </row>
    <row r="553" spans="1:4" ht="42.75" customHeight="1" thickBot="1" x14ac:dyDescent="0.6">
      <c r="A553" s="50"/>
      <c r="B553" s="51"/>
      <c r="C553" s="51"/>
      <c r="D553" s="52"/>
    </row>
    <row r="554" spans="1:4" ht="42.75" customHeight="1" thickBot="1" x14ac:dyDescent="0.6">
      <c r="A554" s="53"/>
      <c r="B554" s="53"/>
      <c r="C554" s="53"/>
      <c r="D554" s="53"/>
    </row>
    <row r="555" spans="1:4" ht="42.75" customHeight="1" thickBot="1" x14ac:dyDescent="0.6">
      <c r="A555" s="1"/>
      <c r="B555" s="2"/>
      <c r="C555" s="2"/>
      <c r="D555" s="3"/>
    </row>
    <row r="556" spans="1:4" ht="42.75" customHeight="1" thickBot="1" x14ac:dyDescent="0.6">
      <c r="A556" s="10"/>
      <c r="B556" s="11"/>
      <c r="C556" s="12"/>
      <c r="D556" s="11"/>
    </row>
    <row r="557" spans="1:4" ht="42.75" customHeight="1" thickBot="1" x14ac:dyDescent="0.6">
      <c r="A557" s="14"/>
      <c r="B557" s="15"/>
      <c r="C557" s="16"/>
      <c r="D557" s="17"/>
    </row>
    <row r="558" spans="1:4" ht="42.75" customHeight="1" thickBot="1" x14ac:dyDescent="0.6">
      <c r="A558" s="15"/>
      <c r="B558" s="15"/>
      <c r="C558" s="20"/>
      <c r="D558" s="21"/>
    </row>
    <row r="559" spans="1:4" ht="42.75" customHeight="1" thickBot="1" x14ac:dyDescent="0.6">
      <c r="A559" s="23"/>
      <c r="B559" s="24"/>
      <c r="C559" s="25"/>
      <c r="D559" s="26"/>
    </row>
    <row r="560" spans="1:4" ht="42.75" customHeight="1" thickBot="1" x14ac:dyDescent="0.6">
      <c r="A560" s="23"/>
      <c r="B560" s="24"/>
      <c r="C560" s="31"/>
      <c r="D560" s="32"/>
    </row>
    <row r="561" spans="1:4" ht="42.75" customHeight="1" thickBot="1" x14ac:dyDescent="0.7">
      <c r="A561" s="34"/>
      <c r="B561" s="35"/>
      <c r="C561" s="36"/>
      <c r="D561" s="32"/>
    </row>
    <row r="562" spans="1:4" ht="42.75" customHeight="1" thickBot="1" x14ac:dyDescent="0.6">
      <c r="A562" s="38"/>
      <c r="B562" s="39"/>
      <c r="C562" s="31"/>
      <c r="D562" s="32"/>
    </row>
    <row r="563" spans="1:4" ht="42.75" customHeight="1" thickBot="1" x14ac:dyDescent="0.6">
      <c r="A563" s="40"/>
      <c r="B563" s="41"/>
      <c r="C563" s="31"/>
      <c r="D563" s="32"/>
    </row>
    <row r="564" spans="1:4" ht="42.75" customHeight="1" thickBot="1" x14ac:dyDescent="0.6">
      <c r="A564" s="42"/>
      <c r="B564" s="43"/>
      <c r="C564" s="31"/>
      <c r="D564" s="32"/>
    </row>
    <row r="565" spans="1:4" ht="42.75" customHeight="1" thickBot="1" x14ac:dyDescent="0.6">
      <c r="A565" s="44"/>
      <c r="B565" s="45"/>
      <c r="C565" s="45"/>
      <c r="D565" s="46"/>
    </row>
    <row r="566" spans="1:4" ht="42.75" customHeight="1" thickBot="1" x14ac:dyDescent="0.6">
      <c r="A566" s="56"/>
      <c r="B566" s="57"/>
      <c r="C566" s="57"/>
      <c r="D566" s="58"/>
    </row>
    <row r="567" spans="1:4" ht="42.75" customHeight="1" thickBot="1" x14ac:dyDescent="0.6">
      <c r="A567" s="50"/>
      <c r="B567" s="51"/>
      <c r="C567" s="51"/>
      <c r="D567" s="52"/>
    </row>
    <row r="568" spans="1:4" ht="42.75" customHeight="1" thickBot="1" x14ac:dyDescent="0.6">
      <c r="A568" s="1"/>
      <c r="B568" s="2"/>
      <c r="C568" s="2"/>
      <c r="D568" s="3"/>
    </row>
    <row r="569" spans="1:4" ht="42.75" customHeight="1" thickBot="1" x14ac:dyDescent="0.6">
      <c r="A569" s="10"/>
      <c r="B569" s="11"/>
      <c r="C569" s="12"/>
      <c r="D569" s="11"/>
    </row>
    <row r="570" spans="1:4" ht="42.75" customHeight="1" thickBot="1" x14ac:dyDescent="0.6">
      <c r="A570" s="14"/>
      <c r="B570" s="15"/>
      <c r="C570" s="16"/>
      <c r="D570" s="17"/>
    </row>
    <row r="571" spans="1:4" ht="42.75" customHeight="1" thickBot="1" x14ac:dyDescent="0.6">
      <c r="A571" s="15"/>
      <c r="B571" s="15"/>
      <c r="C571" s="20"/>
      <c r="D571" s="21"/>
    </row>
    <row r="572" spans="1:4" ht="42.75" customHeight="1" thickBot="1" x14ac:dyDescent="0.6">
      <c r="A572" s="23"/>
      <c r="B572" s="24"/>
      <c r="C572" s="25"/>
      <c r="D572" s="26"/>
    </row>
    <row r="573" spans="1:4" ht="42.75" customHeight="1" thickBot="1" x14ac:dyDescent="0.6">
      <c r="A573" s="23"/>
      <c r="B573" s="24"/>
      <c r="C573" s="31"/>
      <c r="D573" s="32"/>
    </row>
    <row r="574" spans="1:4" ht="42.75" customHeight="1" thickBot="1" x14ac:dyDescent="0.7">
      <c r="A574" s="34"/>
      <c r="B574" s="35"/>
      <c r="C574" s="36"/>
      <c r="D574" s="32"/>
    </row>
    <row r="575" spans="1:4" ht="42.75" customHeight="1" thickBot="1" x14ac:dyDescent="0.6">
      <c r="A575" s="38"/>
      <c r="B575" s="39"/>
      <c r="C575" s="31"/>
      <c r="D575" s="32"/>
    </row>
    <row r="576" spans="1:4" ht="42.75" customHeight="1" thickBot="1" x14ac:dyDescent="0.6">
      <c r="A576" s="40"/>
      <c r="B576" s="41"/>
      <c r="C576" s="31"/>
      <c r="D576" s="32"/>
    </row>
    <row r="577" spans="1:4" ht="42.75" customHeight="1" thickBot="1" x14ac:dyDescent="0.6">
      <c r="A577" s="42"/>
      <c r="B577" s="43"/>
      <c r="C577" s="31"/>
      <c r="D577" s="32"/>
    </row>
    <row r="578" spans="1:4" ht="42.75" customHeight="1" thickBot="1" x14ac:dyDescent="0.6">
      <c r="A578" s="44"/>
      <c r="B578" s="45"/>
      <c r="C578" s="45"/>
      <c r="D578" s="46"/>
    </row>
    <row r="579" spans="1:4" ht="42.75" customHeight="1" thickBot="1" x14ac:dyDescent="0.6">
      <c r="A579" s="47"/>
      <c r="B579" s="48"/>
      <c r="C579" s="48"/>
      <c r="D579" s="49"/>
    </row>
    <row r="580" spans="1:4" ht="42.75" customHeight="1" thickBot="1" x14ac:dyDescent="0.6">
      <c r="A580" s="50"/>
      <c r="B580" s="51"/>
      <c r="C580" s="51"/>
      <c r="D580" s="52"/>
    </row>
    <row r="581" spans="1:4" ht="42.75" customHeight="1" thickBot="1" x14ac:dyDescent="0.6">
      <c r="A581" s="53"/>
      <c r="B581" s="53"/>
      <c r="C581" s="53"/>
      <c r="D581" s="53"/>
    </row>
    <row r="582" spans="1:4" ht="42.75" customHeight="1" thickBot="1" x14ac:dyDescent="0.6">
      <c r="A582" s="1"/>
      <c r="B582" s="2"/>
      <c r="C582" s="2"/>
      <c r="D582" s="3"/>
    </row>
    <row r="583" spans="1:4" ht="42.75" customHeight="1" thickBot="1" x14ac:dyDescent="0.6">
      <c r="A583" s="10"/>
      <c r="B583" s="11"/>
      <c r="C583" s="12"/>
      <c r="D583" s="11"/>
    </row>
    <row r="584" spans="1:4" ht="42.75" customHeight="1" thickBot="1" x14ac:dyDescent="0.6">
      <c r="A584" s="14"/>
      <c r="B584" s="15"/>
      <c r="C584" s="16"/>
      <c r="D584" s="17"/>
    </row>
    <row r="585" spans="1:4" ht="42.75" customHeight="1" thickBot="1" x14ac:dyDescent="0.6">
      <c r="A585" s="15"/>
      <c r="B585" s="15"/>
      <c r="C585" s="20"/>
      <c r="D585" s="21"/>
    </row>
    <row r="586" spans="1:4" ht="42.75" customHeight="1" thickBot="1" x14ac:dyDescent="0.6">
      <c r="A586" s="23"/>
      <c r="B586" s="24"/>
      <c r="C586" s="25"/>
      <c r="D586" s="26"/>
    </row>
    <row r="587" spans="1:4" ht="42.75" customHeight="1" thickBot="1" x14ac:dyDescent="0.6">
      <c r="A587" s="23"/>
      <c r="B587" s="24"/>
      <c r="C587" s="31"/>
      <c r="D587" s="32"/>
    </row>
    <row r="588" spans="1:4" ht="42.75" customHeight="1" thickBot="1" x14ac:dyDescent="0.7">
      <c r="A588" s="34"/>
      <c r="B588" s="35"/>
      <c r="C588" s="36"/>
      <c r="D588" s="32"/>
    </row>
    <row r="589" spans="1:4" ht="42.75" customHeight="1" thickBot="1" x14ac:dyDescent="0.6">
      <c r="A589" s="38"/>
      <c r="B589" s="39"/>
      <c r="C589" s="31"/>
      <c r="D589" s="32"/>
    </row>
    <row r="590" spans="1:4" ht="42.75" customHeight="1" thickBot="1" x14ac:dyDescent="0.6">
      <c r="A590" s="40"/>
      <c r="B590" s="41"/>
      <c r="C590" s="31"/>
      <c r="D590" s="32"/>
    </row>
    <row r="591" spans="1:4" ht="42.75" customHeight="1" thickBot="1" x14ac:dyDescent="0.6">
      <c r="A591" s="42"/>
      <c r="B591" s="43"/>
      <c r="C591" s="31"/>
      <c r="D591" s="32"/>
    </row>
    <row r="592" spans="1:4" ht="42.75" customHeight="1" thickBot="1" x14ac:dyDescent="0.6">
      <c r="A592" s="44"/>
      <c r="B592" s="45"/>
      <c r="C592" s="45"/>
      <c r="D592" s="46"/>
    </row>
    <row r="593" spans="1:4" ht="42.75" customHeight="1" thickBot="1" x14ac:dyDescent="0.6">
      <c r="A593" s="56"/>
      <c r="B593" s="57"/>
      <c r="C593" s="57"/>
      <c r="D593" s="58"/>
    </row>
    <row r="594" spans="1:4" ht="42.75" customHeight="1" thickBot="1" x14ac:dyDescent="0.6">
      <c r="A594" s="50"/>
      <c r="B594" s="51"/>
      <c r="C594" s="51"/>
      <c r="D594" s="52"/>
    </row>
    <row r="595" spans="1:4" ht="42.75" customHeight="1" thickBot="1" x14ac:dyDescent="0.6">
      <c r="A595" s="1"/>
      <c r="B595" s="2"/>
      <c r="C595" s="2"/>
      <c r="D595" s="3"/>
    </row>
    <row r="596" spans="1:4" ht="42.75" customHeight="1" thickBot="1" x14ac:dyDescent="0.6">
      <c r="A596" s="10"/>
      <c r="B596" s="11"/>
      <c r="C596" s="12"/>
      <c r="D596" s="11"/>
    </row>
    <row r="597" spans="1:4" ht="42.75" customHeight="1" thickBot="1" x14ac:dyDescent="0.6">
      <c r="A597" s="14"/>
      <c r="B597" s="15"/>
      <c r="C597" s="16"/>
      <c r="D597" s="17"/>
    </row>
    <row r="598" spans="1:4" ht="42.75" customHeight="1" thickBot="1" x14ac:dyDescent="0.6">
      <c r="A598" s="15"/>
      <c r="B598" s="15"/>
      <c r="C598" s="20"/>
      <c r="D598" s="21"/>
    </row>
    <row r="599" spans="1:4" ht="42.75" customHeight="1" thickBot="1" x14ac:dyDescent="0.6">
      <c r="A599" s="23"/>
      <c r="B599" s="24"/>
      <c r="C599" s="25"/>
      <c r="D599" s="26"/>
    </row>
    <row r="600" spans="1:4" ht="42.75" customHeight="1" thickBot="1" x14ac:dyDescent="0.6">
      <c r="A600" s="23"/>
      <c r="B600" s="24"/>
      <c r="C600" s="31"/>
      <c r="D600" s="32"/>
    </row>
    <row r="601" spans="1:4" ht="42.75" customHeight="1" thickBot="1" x14ac:dyDescent="0.7">
      <c r="A601" s="34"/>
      <c r="B601" s="35"/>
      <c r="C601" s="36"/>
      <c r="D601" s="32"/>
    </row>
    <row r="602" spans="1:4" ht="42.75" customHeight="1" thickBot="1" x14ac:dyDescent="0.6">
      <c r="A602" s="38"/>
      <c r="B602" s="39"/>
      <c r="C602" s="31"/>
      <c r="D602" s="32"/>
    </row>
    <row r="603" spans="1:4" ht="42.75" customHeight="1" thickBot="1" x14ac:dyDescent="0.6">
      <c r="A603" s="40"/>
      <c r="B603" s="41"/>
      <c r="C603" s="31"/>
      <c r="D603" s="32"/>
    </row>
    <row r="604" spans="1:4" ht="42.75" customHeight="1" thickBot="1" x14ac:dyDescent="0.6">
      <c r="A604" s="42"/>
      <c r="B604" s="43"/>
      <c r="C604" s="31"/>
      <c r="D604" s="32"/>
    </row>
    <row r="605" spans="1:4" ht="42.75" customHeight="1" thickBot="1" x14ac:dyDescent="0.6">
      <c r="A605" s="44"/>
      <c r="B605" s="45"/>
      <c r="C605" s="45"/>
      <c r="D605" s="46"/>
    </row>
    <row r="606" spans="1:4" ht="42.75" customHeight="1" thickBot="1" x14ac:dyDescent="0.6">
      <c r="A606" s="47"/>
      <c r="B606" s="48"/>
      <c r="C606" s="48"/>
      <c r="D606" s="49"/>
    </row>
    <row r="607" spans="1:4" ht="42.75" customHeight="1" thickBot="1" x14ac:dyDescent="0.6">
      <c r="A607" s="50"/>
      <c r="B607" s="51"/>
      <c r="C607" s="51"/>
      <c r="D607" s="52"/>
    </row>
    <row r="608" spans="1:4" ht="42.75" customHeight="1" thickBot="1" x14ac:dyDescent="0.6">
      <c r="A608" s="53"/>
      <c r="B608" s="53"/>
      <c r="C608" s="53"/>
      <c r="D608" s="53"/>
    </row>
    <row r="609" spans="1:4" ht="42.75" customHeight="1" thickBot="1" x14ac:dyDescent="0.6">
      <c r="A609" s="1"/>
      <c r="B609" s="2"/>
      <c r="C609" s="2"/>
      <c r="D609" s="3"/>
    </row>
    <row r="610" spans="1:4" ht="42.75" customHeight="1" thickBot="1" x14ac:dyDescent="0.6">
      <c r="A610" s="10"/>
      <c r="B610" s="11"/>
      <c r="C610" s="12"/>
      <c r="D610" s="11"/>
    </row>
    <row r="611" spans="1:4" ht="42.75" customHeight="1" thickBot="1" x14ac:dyDescent="0.6">
      <c r="A611" s="14"/>
      <c r="B611" s="15"/>
      <c r="C611" s="16"/>
      <c r="D611" s="17"/>
    </row>
    <row r="612" spans="1:4" ht="42.75" customHeight="1" thickBot="1" x14ac:dyDescent="0.6">
      <c r="A612" s="15"/>
      <c r="B612" s="15"/>
      <c r="C612" s="20"/>
      <c r="D612" s="21"/>
    </row>
    <row r="613" spans="1:4" ht="42.75" customHeight="1" thickBot="1" x14ac:dyDescent="0.6">
      <c r="A613" s="23"/>
      <c r="B613" s="24"/>
      <c r="C613" s="25"/>
      <c r="D613" s="26"/>
    </row>
    <row r="614" spans="1:4" ht="42.75" customHeight="1" thickBot="1" x14ac:dyDescent="0.6">
      <c r="A614" s="23"/>
      <c r="B614" s="24"/>
      <c r="C614" s="31"/>
      <c r="D614" s="32"/>
    </row>
    <row r="615" spans="1:4" ht="42.75" customHeight="1" thickBot="1" x14ac:dyDescent="0.7">
      <c r="A615" s="34"/>
      <c r="B615" s="35"/>
      <c r="C615" s="36"/>
      <c r="D615" s="32"/>
    </row>
    <row r="616" spans="1:4" ht="42.75" customHeight="1" thickBot="1" x14ac:dyDescent="0.6">
      <c r="A616" s="38"/>
      <c r="B616" s="39"/>
      <c r="C616" s="31"/>
      <c r="D616" s="32"/>
    </row>
    <row r="617" spans="1:4" ht="42.75" customHeight="1" thickBot="1" x14ac:dyDescent="0.6">
      <c r="A617" s="40"/>
      <c r="B617" s="41"/>
      <c r="C617" s="31"/>
      <c r="D617" s="32"/>
    </row>
    <row r="618" spans="1:4" ht="42.75" customHeight="1" thickBot="1" x14ac:dyDescent="0.6">
      <c r="A618" s="42"/>
      <c r="B618" s="43"/>
      <c r="C618" s="31"/>
      <c r="D618" s="32"/>
    </row>
    <row r="619" spans="1:4" ht="42.75" customHeight="1" thickBot="1" x14ac:dyDescent="0.6">
      <c r="A619" s="44"/>
      <c r="B619" s="45"/>
      <c r="C619" s="45"/>
      <c r="D619" s="46"/>
    </row>
    <row r="620" spans="1:4" ht="42.75" customHeight="1" thickBot="1" x14ac:dyDescent="0.6">
      <c r="A620" s="56"/>
      <c r="B620" s="57"/>
      <c r="C620" s="57"/>
      <c r="D620" s="58"/>
    </row>
    <row r="621" spans="1:4" ht="42.75" customHeight="1" thickBot="1" x14ac:dyDescent="0.6">
      <c r="A621" s="50"/>
      <c r="B621" s="51"/>
      <c r="C621" s="51"/>
      <c r="D621" s="52"/>
    </row>
    <row r="622" spans="1:4" ht="42.75" customHeight="1" thickBot="1" x14ac:dyDescent="0.6">
      <c r="A622" s="1"/>
      <c r="B622" s="2"/>
      <c r="C622" s="2"/>
      <c r="D622" s="3"/>
    </row>
    <row r="623" spans="1:4" ht="42.75" customHeight="1" thickBot="1" x14ac:dyDescent="0.6">
      <c r="A623" s="10"/>
      <c r="B623" s="11"/>
      <c r="C623" s="12"/>
      <c r="D623" s="11"/>
    </row>
    <row r="624" spans="1:4" ht="42.75" customHeight="1" thickBot="1" x14ac:dyDescent="0.6">
      <c r="A624" s="14"/>
      <c r="B624" s="15"/>
      <c r="C624" s="16"/>
      <c r="D624" s="17"/>
    </row>
    <row r="625" spans="1:4" ht="42.75" customHeight="1" thickBot="1" x14ac:dyDescent="0.6">
      <c r="A625" s="15"/>
      <c r="B625" s="15"/>
      <c r="C625" s="20"/>
      <c r="D625" s="21"/>
    </row>
    <row r="626" spans="1:4" ht="42.75" customHeight="1" thickBot="1" x14ac:dyDescent="0.6">
      <c r="A626" s="23"/>
      <c r="B626" s="24"/>
      <c r="C626" s="25"/>
      <c r="D626" s="26"/>
    </row>
    <row r="627" spans="1:4" ht="42.75" customHeight="1" thickBot="1" x14ac:dyDescent="0.6">
      <c r="A627" s="23"/>
      <c r="B627" s="24"/>
      <c r="C627" s="31"/>
      <c r="D627" s="32"/>
    </row>
    <row r="628" spans="1:4" ht="42.75" customHeight="1" thickBot="1" x14ac:dyDescent="0.7">
      <c r="A628" s="34"/>
      <c r="B628" s="35"/>
      <c r="C628" s="36"/>
      <c r="D628" s="32"/>
    </row>
    <row r="629" spans="1:4" ht="42.75" customHeight="1" thickBot="1" x14ac:dyDescent="0.6">
      <c r="A629" s="38"/>
      <c r="B629" s="39"/>
      <c r="C629" s="31"/>
      <c r="D629" s="32"/>
    </row>
    <row r="630" spans="1:4" ht="42.75" customHeight="1" thickBot="1" x14ac:dyDescent="0.6">
      <c r="A630" s="40"/>
      <c r="B630" s="41"/>
      <c r="C630" s="31"/>
      <c r="D630" s="32"/>
    </row>
    <row r="631" spans="1:4" ht="42.75" customHeight="1" thickBot="1" x14ac:dyDescent="0.6">
      <c r="A631" s="42"/>
      <c r="B631" s="43"/>
      <c r="C631" s="31"/>
      <c r="D631" s="32"/>
    </row>
    <row r="632" spans="1:4" ht="42.75" customHeight="1" thickBot="1" x14ac:dyDescent="0.6">
      <c r="A632" s="44"/>
      <c r="B632" s="45"/>
      <c r="C632" s="45"/>
      <c r="D632" s="46"/>
    </row>
    <row r="633" spans="1:4" ht="42.75" customHeight="1" thickBot="1" x14ac:dyDescent="0.6">
      <c r="A633" s="47"/>
      <c r="B633" s="48"/>
      <c r="C633" s="48"/>
      <c r="D633" s="49"/>
    </row>
    <row r="634" spans="1:4" ht="42.75" customHeight="1" thickBot="1" x14ac:dyDescent="0.6">
      <c r="A634" s="50"/>
      <c r="B634" s="51"/>
      <c r="C634" s="51"/>
      <c r="D634" s="52"/>
    </row>
    <row r="635" spans="1:4" ht="42.75" customHeight="1" thickBot="1" x14ac:dyDescent="0.6">
      <c r="A635" s="53"/>
      <c r="B635" s="53"/>
      <c r="C635" s="53"/>
      <c r="D635" s="53"/>
    </row>
    <row r="636" spans="1:4" ht="42.75" customHeight="1" thickBot="1" x14ac:dyDescent="0.6">
      <c r="A636" s="1"/>
      <c r="B636" s="2"/>
      <c r="C636" s="2"/>
      <c r="D636" s="3"/>
    </row>
    <row r="637" spans="1:4" ht="42.75" customHeight="1" thickBot="1" x14ac:dyDescent="0.6">
      <c r="A637" s="10"/>
      <c r="B637" s="11"/>
      <c r="C637" s="12"/>
      <c r="D637" s="11"/>
    </row>
    <row r="638" spans="1:4" ht="42.75" customHeight="1" thickBot="1" x14ac:dyDescent="0.6">
      <c r="A638" s="14"/>
      <c r="B638" s="15"/>
      <c r="C638" s="16"/>
      <c r="D638" s="17"/>
    </row>
    <row r="639" spans="1:4" ht="42.75" customHeight="1" thickBot="1" x14ac:dyDescent="0.6">
      <c r="A639" s="15"/>
      <c r="B639" s="15"/>
      <c r="C639" s="20"/>
      <c r="D639" s="21"/>
    </row>
    <row r="640" spans="1:4" ht="42.75" customHeight="1" thickBot="1" x14ac:dyDescent="0.6">
      <c r="A640" s="23"/>
      <c r="B640" s="24"/>
      <c r="C640" s="25"/>
      <c r="D640" s="26"/>
    </row>
    <row r="641" spans="1:4" ht="42.75" customHeight="1" thickBot="1" x14ac:dyDescent="0.6">
      <c r="A641" s="23"/>
      <c r="B641" s="24"/>
      <c r="C641" s="31"/>
      <c r="D641" s="32"/>
    </row>
    <row r="642" spans="1:4" ht="42.75" customHeight="1" thickBot="1" x14ac:dyDescent="0.7">
      <c r="A642" s="34"/>
      <c r="B642" s="35"/>
      <c r="C642" s="36"/>
      <c r="D642" s="32"/>
    </row>
    <row r="643" spans="1:4" ht="42.75" customHeight="1" thickBot="1" x14ac:dyDescent="0.6">
      <c r="A643" s="38"/>
      <c r="B643" s="39"/>
      <c r="C643" s="31"/>
      <c r="D643" s="32"/>
    </row>
    <row r="644" spans="1:4" ht="42.75" customHeight="1" thickBot="1" x14ac:dyDescent="0.6">
      <c r="A644" s="40"/>
      <c r="B644" s="41"/>
      <c r="C644" s="31"/>
      <c r="D644" s="32"/>
    </row>
    <row r="645" spans="1:4" ht="42.75" customHeight="1" thickBot="1" x14ac:dyDescent="0.6">
      <c r="A645" s="42"/>
      <c r="B645" s="43"/>
      <c r="C645" s="31"/>
      <c r="D645" s="32"/>
    </row>
    <row r="646" spans="1:4" ht="42.75" customHeight="1" thickBot="1" x14ac:dyDescent="0.6">
      <c r="A646" s="44"/>
      <c r="B646" s="45"/>
      <c r="C646" s="45"/>
      <c r="D646" s="46"/>
    </row>
    <row r="647" spans="1:4" ht="42.75" customHeight="1" thickBot="1" x14ac:dyDescent="0.6">
      <c r="A647" s="56"/>
      <c r="B647" s="57"/>
      <c r="C647" s="57"/>
      <c r="D647" s="58"/>
    </row>
    <row r="648" spans="1:4" ht="42.75" customHeight="1" thickBot="1" x14ac:dyDescent="0.6">
      <c r="A648" s="50"/>
      <c r="B648" s="51"/>
      <c r="C648" s="51"/>
      <c r="D648" s="52"/>
    </row>
    <row r="649" spans="1:4" ht="42.75" customHeight="1" thickBot="1" x14ac:dyDescent="0.6">
      <c r="A649" s="1"/>
      <c r="B649" s="2"/>
      <c r="C649" s="2"/>
      <c r="D649" s="3"/>
    </row>
    <row r="650" spans="1:4" ht="42.75" customHeight="1" thickBot="1" x14ac:dyDescent="0.6">
      <c r="A650" s="10"/>
      <c r="B650" s="11"/>
      <c r="C650" s="12"/>
      <c r="D650" s="11"/>
    </row>
    <row r="651" spans="1:4" ht="42.75" customHeight="1" thickBot="1" x14ac:dyDescent="0.6">
      <c r="A651" s="14"/>
      <c r="B651" s="15"/>
      <c r="C651" s="16"/>
      <c r="D651" s="17"/>
    </row>
    <row r="652" spans="1:4" ht="42.75" customHeight="1" thickBot="1" x14ac:dyDescent="0.6">
      <c r="A652" s="15"/>
      <c r="B652" s="15"/>
      <c r="C652" s="20"/>
      <c r="D652" s="21"/>
    </row>
    <row r="653" spans="1:4" ht="42.75" customHeight="1" thickBot="1" x14ac:dyDescent="0.6">
      <c r="A653" s="23"/>
      <c r="B653" s="24"/>
      <c r="C653" s="25"/>
      <c r="D653" s="26"/>
    </row>
    <row r="654" spans="1:4" ht="42.75" customHeight="1" thickBot="1" x14ac:dyDescent="0.6">
      <c r="A654" s="23"/>
      <c r="B654" s="24"/>
      <c r="C654" s="31"/>
      <c r="D654" s="32"/>
    </row>
    <row r="655" spans="1:4" ht="42.75" customHeight="1" thickBot="1" x14ac:dyDescent="0.7">
      <c r="A655" s="34"/>
      <c r="B655" s="35"/>
      <c r="C655" s="36"/>
      <c r="D655" s="32"/>
    </row>
    <row r="656" spans="1:4" ht="42.75" customHeight="1" thickBot="1" x14ac:dyDescent="0.6">
      <c r="A656" s="38"/>
      <c r="B656" s="39"/>
      <c r="C656" s="31"/>
      <c r="D656" s="32"/>
    </row>
    <row r="657" spans="1:4" ht="42.75" customHeight="1" thickBot="1" x14ac:dyDescent="0.6">
      <c r="A657" s="40"/>
      <c r="B657" s="41"/>
      <c r="C657" s="31"/>
      <c r="D657" s="32"/>
    </row>
    <row r="658" spans="1:4" ht="42.75" customHeight="1" thickBot="1" x14ac:dyDescent="0.6">
      <c r="A658" s="42"/>
      <c r="B658" s="43"/>
      <c r="C658" s="31"/>
      <c r="D658" s="32"/>
    </row>
    <row r="659" spans="1:4" ht="42.75" customHeight="1" thickBot="1" x14ac:dyDescent="0.6">
      <c r="A659" s="44"/>
      <c r="B659" s="45"/>
      <c r="C659" s="45"/>
      <c r="D659" s="46"/>
    </row>
    <row r="660" spans="1:4" ht="42.75" customHeight="1" thickBot="1" x14ac:dyDescent="0.6">
      <c r="A660" s="47"/>
      <c r="B660" s="48"/>
      <c r="C660" s="48"/>
      <c r="D660" s="49"/>
    </row>
    <row r="661" spans="1:4" ht="42.75" customHeight="1" thickBot="1" x14ac:dyDescent="0.6">
      <c r="A661" s="50"/>
      <c r="B661" s="51"/>
      <c r="C661" s="51"/>
      <c r="D661" s="52"/>
    </row>
    <row r="662" spans="1:4" ht="42.75" customHeight="1" thickBot="1" x14ac:dyDescent="0.6">
      <c r="A662" s="53"/>
      <c r="B662" s="53"/>
      <c r="C662" s="53"/>
      <c r="D662" s="53"/>
    </row>
    <row r="663" spans="1:4" ht="42.75" customHeight="1" thickBot="1" x14ac:dyDescent="0.6">
      <c r="A663" s="1"/>
      <c r="B663" s="2"/>
      <c r="C663" s="2"/>
      <c r="D663" s="3"/>
    </row>
    <row r="664" spans="1:4" ht="42.75" customHeight="1" thickBot="1" x14ac:dyDescent="0.6">
      <c r="A664" s="10"/>
      <c r="B664" s="11"/>
      <c r="C664" s="12"/>
      <c r="D664" s="11"/>
    </row>
    <row r="665" spans="1:4" ht="42.75" customHeight="1" thickBot="1" x14ac:dyDescent="0.6">
      <c r="A665" s="14"/>
      <c r="B665" s="15"/>
      <c r="C665" s="16"/>
      <c r="D665" s="17"/>
    </row>
    <row r="666" spans="1:4" ht="42.75" customHeight="1" thickBot="1" x14ac:dyDescent="0.6">
      <c r="A666" s="15"/>
      <c r="B666" s="15"/>
      <c r="C666" s="20"/>
      <c r="D666" s="21"/>
    </row>
    <row r="667" spans="1:4" ht="42.75" customHeight="1" thickBot="1" x14ac:dyDescent="0.6">
      <c r="A667" s="23"/>
      <c r="B667" s="24"/>
      <c r="C667" s="25"/>
      <c r="D667" s="26"/>
    </row>
    <row r="668" spans="1:4" ht="42.75" customHeight="1" thickBot="1" x14ac:dyDescent="0.6">
      <c r="A668" s="23"/>
      <c r="B668" s="24"/>
      <c r="C668" s="31"/>
      <c r="D668" s="32"/>
    </row>
    <row r="669" spans="1:4" ht="42.75" customHeight="1" thickBot="1" x14ac:dyDescent="0.7">
      <c r="A669" s="34"/>
      <c r="B669" s="35"/>
      <c r="C669" s="36"/>
      <c r="D669" s="32"/>
    </row>
    <row r="670" spans="1:4" ht="42.75" customHeight="1" thickBot="1" x14ac:dyDescent="0.6">
      <c r="A670" s="38"/>
      <c r="B670" s="39"/>
      <c r="C670" s="31"/>
      <c r="D670" s="32"/>
    </row>
    <row r="671" spans="1:4" ht="42.75" customHeight="1" thickBot="1" x14ac:dyDescent="0.6">
      <c r="A671" s="40"/>
      <c r="B671" s="41"/>
      <c r="C671" s="31"/>
      <c r="D671" s="32"/>
    </row>
    <row r="672" spans="1:4" ht="42.75" customHeight="1" thickBot="1" x14ac:dyDescent="0.6">
      <c r="A672" s="42"/>
      <c r="B672" s="43"/>
      <c r="C672" s="31"/>
      <c r="D672" s="32"/>
    </row>
    <row r="673" spans="1:4" ht="42.75" customHeight="1" thickBot="1" x14ac:dyDescent="0.6">
      <c r="A673" s="44"/>
      <c r="B673" s="45"/>
      <c r="C673" s="45"/>
      <c r="D673" s="46"/>
    </row>
    <row r="674" spans="1:4" ht="42.75" customHeight="1" thickBot="1" x14ac:dyDescent="0.6">
      <c r="A674" s="56"/>
      <c r="B674" s="57"/>
      <c r="C674" s="57"/>
      <c r="D674" s="58"/>
    </row>
    <row r="675" spans="1:4" ht="42.75" customHeight="1" thickBot="1" x14ac:dyDescent="0.6">
      <c r="A675" s="50"/>
      <c r="B675" s="51"/>
      <c r="C675" s="51"/>
      <c r="D675" s="52"/>
    </row>
    <row r="676" spans="1:4" ht="42.75" customHeight="1" thickBot="1" x14ac:dyDescent="0.6">
      <c r="A676" s="1"/>
      <c r="B676" s="2"/>
      <c r="C676" s="2"/>
      <c r="D676" s="3"/>
    </row>
    <row r="677" spans="1:4" ht="42.75" customHeight="1" thickBot="1" x14ac:dyDescent="0.6">
      <c r="A677" s="10"/>
      <c r="B677" s="11"/>
      <c r="C677" s="12"/>
      <c r="D677" s="11"/>
    </row>
    <row r="678" spans="1:4" ht="42.75" customHeight="1" thickBot="1" x14ac:dyDescent="0.6">
      <c r="A678" s="14"/>
      <c r="B678" s="15"/>
      <c r="C678" s="16"/>
      <c r="D678" s="17"/>
    </row>
    <row r="679" spans="1:4" ht="42.75" customHeight="1" thickBot="1" x14ac:dyDescent="0.6">
      <c r="A679" s="15"/>
      <c r="B679" s="15"/>
      <c r="C679" s="20"/>
      <c r="D679" s="21"/>
    </row>
    <row r="680" spans="1:4" ht="42.75" customHeight="1" thickBot="1" x14ac:dyDescent="0.6">
      <c r="A680" s="23"/>
      <c r="B680" s="24"/>
      <c r="C680" s="25"/>
      <c r="D680" s="26"/>
    </row>
    <row r="681" spans="1:4" ht="42.75" customHeight="1" thickBot="1" x14ac:dyDescent="0.6">
      <c r="A681" s="23"/>
      <c r="B681" s="24"/>
      <c r="C681" s="31"/>
      <c r="D681" s="32"/>
    </row>
    <row r="682" spans="1:4" ht="42.75" customHeight="1" thickBot="1" x14ac:dyDescent="0.7">
      <c r="A682" s="34"/>
      <c r="B682" s="35"/>
      <c r="C682" s="36"/>
      <c r="D682" s="32"/>
    </row>
    <row r="683" spans="1:4" ht="42.75" customHeight="1" thickBot="1" x14ac:dyDescent="0.6">
      <c r="A683" s="38"/>
      <c r="B683" s="39"/>
      <c r="C683" s="31"/>
      <c r="D683" s="32"/>
    </row>
    <row r="684" spans="1:4" ht="42.75" customHeight="1" thickBot="1" x14ac:dyDescent="0.6">
      <c r="A684" s="40"/>
      <c r="B684" s="41"/>
      <c r="C684" s="31"/>
      <c r="D684" s="32"/>
    </row>
    <row r="685" spans="1:4" ht="42.75" customHeight="1" thickBot="1" x14ac:dyDescent="0.6">
      <c r="A685" s="42"/>
      <c r="B685" s="43"/>
      <c r="C685" s="31"/>
      <c r="D685" s="32"/>
    </row>
    <row r="686" spans="1:4" ht="42.75" customHeight="1" thickBot="1" x14ac:dyDescent="0.6">
      <c r="A686" s="44"/>
      <c r="B686" s="45"/>
      <c r="C686" s="45"/>
      <c r="D686" s="46"/>
    </row>
    <row r="687" spans="1:4" ht="42.75" customHeight="1" thickBot="1" x14ac:dyDescent="0.6">
      <c r="A687" s="47"/>
      <c r="B687" s="48"/>
      <c r="C687" s="48"/>
      <c r="D687" s="49"/>
    </row>
    <row r="688" spans="1:4" ht="42.75" customHeight="1" thickBot="1" x14ac:dyDescent="0.6">
      <c r="A688" s="50"/>
      <c r="B688" s="51"/>
      <c r="C688" s="51"/>
      <c r="D688" s="52"/>
    </row>
    <row r="689" spans="1:4" ht="42.75" customHeight="1" thickBot="1" x14ac:dyDescent="0.6">
      <c r="A689" s="53"/>
      <c r="B689" s="53"/>
      <c r="C689" s="53"/>
      <c r="D689" s="53"/>
    </row>
    <row r="690" spans="1:4" ht="42.75" customHeight="1" thickBot="1" x14ac:dyDescent="0.6">
      <c r="A690" s="1"/>
      <c r="B690" s="2"/>
      <c r="C690" s="2"/>
      <c r="D690" s="3"/>
    </row>
    <row r="691" spans="1:4" ht="42.75" customHeight="1" thickBot="1" x14ac:dyDescent="0.6">
      <c r="A691" s="10"/>
      <c r="B691" s="11"/>
      <c r="C691" s="12"/>
      <c r="D691" s="11"/>
    </row>
    <row r="692" spans="1:4" ht="42.75" customHeight="1" thickBot="1" x14ac:dyDescent="0.6">
      <c r="A692" s="14"/>
      <c r="B692" s="15"/>
      <c r="C692" s="16"/>
      <c r="D692" s="17"/>
    </row>
    <row r="693" spans="1:4" ht="42.75" customHeight="1" thickBot="1" x14ac:dyDescent="0.6">
      <c r="A693" s="15"/>
      <c r="B693" s="15"/>
      <c r="C693" s="20"/>
      <c r="D693" s="21"/>
    </row>
    <row r="694" spans="1:4" ht="42.75" customHeight="1" thickBot="1" x14ac:dyDescent="0.6">
      <c r="A694" s="23"/>
      <c r="B694" s="24"/>
      <c r="C694" s="25"/>
      <c r="D694" s="26"/>
    </row>
    <row r="695" spans="1:4" ht="42.75" customHeight="1" thickBot="1" x14ac:dyDescent="0.6">
      <c r="A695" s="23"/>
      <c r="B695" s="24"/>
      <c r="C695" s="31"/>
      <c r="D695" s="32"/>
    </row>
    <row r="696" spans="1:4" ht="42.75" customHeight="1" thickBot="1" x14ac:dyDescent="0.7">
      <c r="A696" s="34"/>
      <c r="B696" s="35"/>
      <c r="C696" s="36"/>
      <c r="D696" s="32"/>
    </row>
    <row r="697" spans="1:4" ht="42.75" customHeight="1" thickBot="1" x14ac:dyDescent="0.6">
      <c r="A697" s="38"/>
      <c r="B697" s="39"/>
      <c r="C697" s="31"/>
      <c r="D697" s="32"/>
    </row>
    <row r="698" spans="1:4" ht="42.75" customHeight="1" thickBot="1" x14ac:dyDescent="0.6">
      <c r="A698" s="40"/>
      <c r="B698" s="41"/>
      <c r="C698" s="31"/>
      <c r="D698" s="32"/>
    </row>
    <row r="699" spans="1:4" ht="42.75" customHeight="1" thickBot="1" x14ac:dyDescent="0.6">
      <c r="A699" s="42"/>
      <c r="B699" s="43"/>
      <c r="C699" s="31"/>
      <c r="D699" s="32"/>
    </row>
    <row r="700" spans="1:4" ht="42.75" customHeight="1" thickBot="1" x14ac:dyDescent="0.6">
      <c r="A700" s="44"/>
      <c r="B700" s="45"/>
      <c r="C700" s="45"/>
      <c r="D700" s="46"/>
    </row>
    <row r="701" spans="1:4" ht="42.75" customHeight="1" thickBot="1" x14ac:dyDescent="0.6">
      <c r="A701" s="56"/>
      <c r="B701" s="57"/>
      <c r="C701" s="57"/>
      <c r="D701" s="58"/>
    </row>
    <row r="702" spans="1:4" ht="42.75" customHeight="1" thickBot="1" x14ac:dyDescent="0.6">
      <c r="A702" s="50"/>
      <c r="B702" s="51"/>
      <c r="C702" s="51"/>
      <c r="D702" s="52"/>
    </row>
    <row r="703" spans="1:4" ht="42.75" customHeight="1" thickBot="1" x14ac:dyDescent="0.6">
      <c r="A703" s="1"/>
      <c r="B703" s="2"/>
      <c r="C703" s="2"/>
      <c r="D703" s="3"/>
    </row>
    <row r="704" spans="1:4" ht="42.75" customHeight="1" thickBot="1" x14ac:dyDescent="0.6">
      <c r="A704" s="10"/>
      <c r="B704" s="11"/>
      <c r="C704" s="12"/>
      <c r="D704" s="11"/>
    </row>
    <row r="705" spans="1:4" ht="42.75" customHeight="1" thickBot="1" x14ac:dyDescent="0.6">
      <c r="A705" s="14"/>
      <c r="B705" s="15"/>
      <c r="C705" s="16"/>
      <c r="D705" s="17"/>
    </row>
    <row r="706" spans="1:4" ht="42.75" customHeight="1" thickBot="1" x14ac:dyDescent="0.6">
      <c r="A706" s="15"/>
      <c r="B706" s="15"/>
      <c r="C706" s="20"/>
      <c r="D706" s="21"/>
    </row>
    <row r="707" spans="1:4" ht="42.75" customHeight="1" thickBot="1" x14ac:dyDescent="0.6">
      <c r="A707" s="23"/>
      <c r="B707" s="24"/>
      <c r="C707" s="25"/>
      <c r="D707" s="26"/>
    </row>
    <row r="708" spans="1:4" ht="42.75" customHeight="1" thickBot="1" x14ac:dyDescent="0.6">
      <c r="A708" s="23"/>
      <c r="B708" s="24"/>
      <c r="C708" s="31"/>
      <c r="D708" s="32"/>
    </row>
    <row r="709" spans="1:4" ht="42.75" customHeight="1" thickBot="1" x14ac:dyDescent="0.7">
      <c r="A709" s="34"/>
      <c r="B709" s="35"/>
      <c r="C709" s="36"/>
      <c r="D709" s="32"/>
    </row>
    <row r="710" spans="1:4" ht="42.75" customHeight="1" thickBot="1" x14ac:dyDescent="0.6">
      <c r="A710" s="38"/>
      <c r="B710" s="39"/>
      <c r="C710" s="31"/>
      <c r="D710" s="32"/>
    </row>
    <row r="711" spans="1:4" ht="42.75" customHeight="1" thickBot="1" x14ac:dyDescent="0.6">
      <c r="A711" s="40"/>
      <c r="B711" s="41"/>
      <c r="C711" s="31"/>
      <c r="D711" s="32"/>
    </row>
    <row r="712" spans="1:4" ht="42.75" customHeight="1" thickBot="1" x14ac:dyDescent="0.6">
      <c r="A712" s="42"/>
      <c r="B712" s="43"/>
      <c r="C712" s="31"/>
      <c r="D712" s="32"/>
    </row>
    <row r="713" spans="1:4" ht="42.75" customHeight="1" thickBot="1" x14ac:dyDescent="0.6">
      <c r="A713" s="44"/>
      <c r="B713" s="45"/>
      <c r="C713" s="45"/>
      <c r="D713" s="46"/>
    </row>
    <row r="714" spans="1:4" ht="42.75" customHeight="1" thickBot="1" x14ac:dyDescent="0.6">
      <c r="A714" s="47"/>
      <c r="B714" s="48"/>
      <c r="C714" s="48"/>
      <c r="D714" s="49"/>
    </row>
    <row r="715" spans="1:4" ht="42.75" customHeight="1" thickBot="1" x14ac:dyDescent="0.6">
      <c r="A715" s="50"/>
      <c r="B715" s="51"/>
      <c r="C715" s="51"/>
      <c r="D715" s="52"/>
    </row>
    <row r="716" spans="1:4" ht="42.75" customHeight="1" thickBot="1" x14ac:dyDescent="0.6">
      <c r="A716" s="53"/>
      <c r="B716" s="53"/>
      <c r="C716" s="53"/>
      <c r="D716" s="53"/>
    </row>
    <row r="717" spans="1:4" ht="42.75" customHeight="1" thickBot="1" x14ac:dyDescent="0.6">
      <c r="A717" s="1"/>
      <c r="B717" s="2"/>
      <c r="C717" s="2"/>
      <c r="D717" s="3"/>
    </row>
    <row r="718" spans="1:4" ht="42.75" customHeight="1" thickBot="1" x14ac:dyDescent="0.6">
      <c r="A718" s="10"/>
      <c r="B718" s="11"/>
      <c r="C718" s="12"/>
      <c r="D718" s="11"/>
    </row>
    <row r="719" spans="1:4" ht="42.75" customHeight="1" thickBot="1" x14ac:dyDescent="0.6">
      <c r="A719" s="14"/>
      <c r="B719" s="15"/>
      <c r="C719" s="16"/>
      <c r="D719" s="17"/>
    </row>
    <row r="720" spans="1:4" ht="42.75" customHeight="1" thickBot="1" x14ac:dyDescent="0.6">
      <c r="A720" s="15"/>
      <c r="B720" s="15"/>
      <c r="C720" s="20"/>
      <c r="D720" s="21"/>
    </row>
    <row r="721" spans="1:4" ht="42.75" customHeight="1" thickBot="1" x14ac:dyDescent="0.6">
      <c r="A721" s="23"/>
      <c r="B721" s="24"/>
      <c r="C721" s="25"/>
      <c r="D721" s="26"/>
    </row>
    <row r="722" spans="1:4" ht="42.75" customHeight="1" thickBot="1" x14ac:dyDescent="0.6">
      <c r="A722" s="23"/>
      <c r="B722" s="24"/>
      <c r="C722" s="31"/>
      <c r="D722" s="32"/>
    </row>
    <row r="723" spans="1:4" ht="42.75" customHeight="1" thickBot="1" x14ac:dyDescent="0.7">
      <c r="A723" s="34"/>
      <c r="B723" s="35"/>
      <c r="C723" s="36"/>
      <c r="D723" s="32"/>
    </row>
    <row r="724" spans="1:4" ht="42.75" customHeight="1" thickBot="1" x14ac:dyDescent="0.6">
      <c r="A724" s="38"/>
      <c r="B724" s="39"/>
      <c r="C724" s="31"/>
      <c r="D724" s="32"/>
    </row>
    <row r="725" spans="1:4" ht="42.75" customHeight="1" thickBot="1" x14ac:dyDescent="0.6">
      <c r="A725" s="40"/>
      <c r="B725" s="41"/>
      <c r="C725" s="31"/>
      <c r="D725" s="32"/>
    </row>
    <row r="726" spans="1:4" ht="42.75" customHeight="1" thickBot="1" x14ac:dyDescent="0.6">
      <c r="A726" s="42"/>
      <c r="B726" s="43"/>
      <c r="C726" s="31"/>
      <c r="D726" s="32"/>
    </row>
    <row r="727" spans="1:4" ht="42.75" customHeight="1" thickBot="1" x14ac:dyDescent="0.6">
      <c r="A727" s="44"/>
      <c r="B727" s="45"/>
      <c r="C727" s="45"/>
      <c r="D727" s="46"/>
    </row>
    <row r="728" spans="1:4" ht="42.75" customHeight="1" thickBot="1" x14ac:dyDescent="0.6">
      <c r="A728" s="56"/>
      <c r="B728" s="57"/>
      <c r="C728" s="57"/>
      <c r="D728" s="58"/>
    </row>
    <row r="729" spans="1:4" ht="42.75" customHeight="1" thickBot="1" x14ac:dyDescent="0.6">
      <c r="A729" s="50"/>
      <c r="B729" s="51"/>
      <c r="C729" s="51"/>
      <c r="D729" s="52"/>
    </row>
    <row r="730" spans="1:4" ht="42.75" customHeight="1" thickBot="1" x14ac:dyDescent="0.6">
      <c r="A730" s="1"/>
      <c r="B730" s="2"/>
      <c r="C730" s="2"/>
      <c r="D730" s="3"/>
    </row>
    <row r="731" spans="1:4" ht="42.75" customHeight="1" thickBot="1" x14ac:dyDescent="0.6">
      <c r="A731" s="10"/>
      <c r="B731" s="11"/>
      <c r="C731" s="12"/>
      <c r="D731" s="11"/>
    </row>
    <row r="732" spans="1:4" ht="42.75" customHeight="1" thickBot="1" x14ac:dyDescent="0.6">
      <c r="A732" s="14"/>
      <c r="B732" s="15"/>
      <c r="C732" s="16"/>
      <c r="D732" s="17"/>
    </row>
    <row r="733" spans="1:4" ht="42.75" customHeight="1" thickBot="1" x14ac:dyDescent="0.6">
      <c r="A733" s="15"/>
      <c r="B733" s="15"/>
      <c r="C733" s="20"/>
      <c r="D733" s="21"/>
    </row>
    <row r="734" spans="1:4" ht="42.75" customHeight="1" thickBot="1" x14ac:dyDescent="0.6">
      <c r="A734" s="23"/>
      <c r="B734" s="24"/>
      <c r="C734" s="25"/>
      <c r="D734" s="26"/>
    </row>
    <row r="735" spans="1:4" ht="42.75" customHeight="1" thickBot="1" x14ac:dyDescent="0.6">
      <c r="A735" s="23"/>
      <c r="B735" s="24"/>
      <c r="C735" s="31"/>
      <c r="D735" s="32"/>
    </row>
    <row r="736" spans="1:4" ht="42.75" customHeight="1" thickBot="1" x14ac:dyDescent="0.7">
      <c r="A736" s="34"/>
      <c r="B736" s="35"/>
      <c r="C736" s="36"/>
      <c r="D736" s="32"/>
    </row>
    <row r="737" spans="1:4" ht="42.75" customHeight="1" thickBot="1" x14ac:dyDescent="0.6">
      <c r="A737" s="38"/>
      <c r="B737" s="39"/>
      <c r="C737" s="31"/>
      <c r="D737" s="32"/>
    </row>
    <row r="738" spans="1:4" ht="42.75" customHeight="1" thickBot="1" x14ac:dyDescent="0.6">
      <c r="A738" s="40"/>
      <c r="B738" s="41"/>
      <c r="C738" s="31"/>
      <c r="D738" s="32"/>
    </row>
    <row r="739" spans="1:4" ht="42.75" customHeight="1" thickBot="1" x14ac:dyDescent="0.6">
      <c r="A739" s="42"/>
      <c r="B739" s="43"/>
      <c r="C739" s="31"/>
      <c r="D739" s="32"/>
    </row>
    <row r="740" spans="1:4" ht="42.75" customHeight="1" thickBot="1" x14ac:dyDescent="0.6">
      <c r="A740" s="44"/>
      <c r="B740" s="45"/>
      <c r="C740" s="45"/>
      <c r="D740" s="46"/>
    </row>
    <row r="741" spans="1:4" ht="42.75" customHeight="1" thickBot="1" x14ac:dyDescent="0.6">
      <c r="A741" s="47"/>
      <c r="B741" s="48"/>
      <c r="C741" s="48"/>
      <c r="D741" s="49"/>
    </row>
    <row r="742" spans="1:4" ht="42.75" customHeight="1" thickBot="1" x14ac:dyDescent="0.6">
      <c r="A742" s="50"/>
      <c r="B742" s="51"/>
      <c r="C742" s="51"/>
      <c r="D742" s="52"/>
    </row>
    <row r="743" spans="1:4" ht="42.75" customHeight="1" thickBot="1" x14ac:dyDescent="0.6">
      <c r="A743" s="53"/>
      <c r="B743" s="53"/>
      <c r="C743" s="53"/>
      <c r="D743" s="53"/>
    </row>
    <row r="744" spans="1:4" ht="42.75" customHeight="1" thickBot="1" x14ac:dyDescent="0.6">
      <c r="A744" s="1"/>
      <c r="B744" s="2"/>
      <c r="C744" s="2"/>
      <c r="D744" s="3"/>
    </row>
    <row r="745" spans="1:4" ht="42.75" customHeight="1" thickBot="1" x14ac:dyDescent="0.6">
      <c r="A745" s="10"/>
      <c r="B745" s="11"/>
      <c r="C745" s="12"/>
      <c r="D745" s="11"/>
    </row>
    <row r="746" spans="1:4" ht="42.75" customHeight="1" thickBot="1" x14ac:dyDescent="0.6">
      <c r="A746" s="14"/>
      <c r="B746" s="15"/>
      <c r="C746" s="16"/>
      <c r="D746" s="17"/>
    </row>
    <row r="747" spans="1:4" ht="42.75" customHeight="1" thickBot="1" x14ac:dyDescent="0.6">
      <c r="A747" s="15"/>
      <c r="B747" s="15"/>
      <c r="C747" s="20"/>
      <c r="D747" s="21"/>
    </row>
    <row r="748" spans="1:4" ht="42.75" customHeight="1" thickBot="1" x14ac:dyDescent="0.6">
      <c r="A748" s="23"/>
      <c r="B748" s="24"/>
      <c r="C748" s="25"/>
      <c r="D748" s="26"/>
    </row>
    <row r="749" spans="1:4" ht="42.75" customHeight="1" thickBot="1" x14ac:dyDescent="0.6">
      <c r="A749" s="23"/>
      <c r="B749" s="24"/>
      <c r="C749" s="31"/>
      <c r="D749" s="32"/>
    </row>
    <row r="750" spans="1:4" ht="42.75" customHeight="1" thickBot="1" x14ac:dyDescent="0.7">
      <c r="A750" s="34"/>
      <c r="B750" s="35"/>
      <c r="C750" s="36"/>
      <c r="D750" s="32"/>
    </row>
    <row r="751" spans="1:4" ht="42.75" customHeight="1" thickBot="1" x14ac:dyDescent="0.6">
      <c r="A751" s="38"/>
      <c r="B751" s="39"/>
      <c r="C751" s="31"/>
      <c r="D751" s="32"/>
    </row>
    <row r="752" spans="1:4" ht="42.75" customHeight="1" thickBot="1" x14ac:dyDescent="0.6">
      <c r="A752" s="40"/>
      <c r="B752" s="41"/>
      <c r="C752" s="31"/>
      <c r="D752" s="32"/>
    </row>
    <row r="753" spans="1:4" ht="42.75" customHeight="1" thickBot="1" x14ac:dyDescent="0.6">
      <c r="A753" s="42"/>
      <c r="B753" s="43"/>
      <c r="C753" s="31"/>
      <c r="D753" s="32"/>
    </row>
    <row r="754" spans="1:4" ht="42.75" customHeight="1" thickBot="1" x14ac:dyDescent="0.6">
      <c r="A754" s="44"/>
      <c r="B754" s="45"/>
      <c r="C754" s="45"/>
      <c r="D754" s="46"/>
    </row>
    <row r="755" spans="1:4" ht="42.75" customHeight="1" thickBot="1" x14ac:dyDescent="0.6">
      <c r="A755" s="56"/>
      <c r="B755" s="57"/>
      <c r="C755" s="57"/>
      <c r="D755" s="58"/>
    </row>
    <row r="756" spans="1:4" ht="42.75" customHeight="1" thickBot="1" x14ac:dyDescent="0.6">
      <c r="A756" s="50"/>
      <c r="B756" s="51"/>
      <c r="C756" s="51"/>
      <c r="D756" s="52"/>
    </row>
    <row r="757" spans="1:4" ht="42.75" customHeight="1" thickBot="1" x14ac:dyDescent="0.6">
      <c r="A757" s="1"/>
      <c r="B757" s="2"/>
      <c r="C757" s="2"/>
      <c r="D757" s="3"/>
    </row>
    <row r="758" spans="1:4" ht="42.75" customHeight="1" thickBot="1" x14ac:dyDescent="0.6">
      <c r="A758" s="10"/>
      <c r="B758" s="11"/>
      <c r="C758" s="12"/>
      <c r="D758" s="11"/>
    </row>
    <row r="759" spans="1:4" ht="42.75" customHeight="1" thickBot="1" x14ac:dyDescent="0.6">
      <c r="A759" s="14"/>
      <c r="B759" s="15"/>
      <c r="C759" s="16"/>
      <c r="D759" s="17"/>
    </row>
    <row r="760" spans="1:4" ht="42.75" customHeight="1" thickBot="1" x14ac:dyDescent="0.6">
      <c r="A760" s="15"/>
      <c r="B760" s="15"/>
      <c r="C760" s="20"/>
      <c r="D760" s="21"/>
    </row>
    <row r="761" spans="1:4" ht="42.75" customHeight="1" thickBot="1" x14ac:dyDescent="0.6">
      <c r="A761" s="23"/>
      <c r="B761" s="24"/>
      <c r="C761" s="25"/>
      <c r="D761" s="26"/>
    </row>
    <row r="762" spans="1:4" ht="42.75" customHeight="1" thickBot="1" x14ac:dyDescent="0.6">
      <c r="A762" s="23"/>
      <c r="B762" s="24"/>
      <c r="C762" s="31"/>
      <c r="D762" s="32"/>
    </row>
    <row r="763" spans="1:4" ht="42.75" customHeight="1" thickBot="1" x14ac:dyDescent="0.7">
      <c r="A763" s="34"/>
      <c r="B763" s="35"/>
      <c r="C763" s="36"/>
      <c r="D763" s="32"/>
    </row>
    <row r="764" spans="1:4" ht="42.75" customHeight="1" thickBot="1" x14ac:dyDescent="0.6">
      <c r="A764" s="38"/>
      <c r="B764" s="39"/>
      <c r="C764" s="31"/>
      <c r="D764" s="32"/>
    </row>
    <row r="765" spans="1:4" ht="42.75" customHeight="1" thickBot="1" x14ac:dyDescent="0.6">
      <c r="A765" s="40"/>
      <c r="B765" s="41"/>
      <c r="C765" s="31"/>
      <c r="D765" s="32"/>
    </row>
    <row r="766" spans="1:4" ht="42.75" customHeight="1" thickBot="1" x14ac:dyDescent="0.6">
      <c r="A766" s="42"/>
      <c r="B766" s="43"/>
      <c r="C766" s="31"/>
      <c r="D766" s="32"/>
    </row>
    <row r="767" spans="1:4" ht="42.75" customHeight="1" thickBot="1" x14ac:dyDescent="0.6">
      <c r="A767" s="44"/>
      <c r="B767" s="45"/>
      <c r="C767" s="45"/>
      <c r="D767" s="46"/>
    </row>
    <row r="768" spans="1:4" ht="42.75" customHeight="1" thickBot="1" x14ac:dyDescent="0.6">
      <c r="A768" s="47"/>
      <c r="B768" s="48"/>
      <c r="C768" s="48"/>
      <c r="D768" s="49"/>
    </row>
    <row r="769" spans="1:4" ht="42.75" customHeight="1" thickBot="1" x14ac:dyDescent="0.6">
      <c r="A769" s="50"/>
      <c r="B769" s="51"/>
      <c r="C769" s="51"/>
      <c r="D769" s="52"/>
    </row>
    <row r="770" spans="1:4" ht="42.75" customHeight="1" thickBot="1" x14ac:dyDescent="0.6">
      <c r="A770" s="53"/>
      <c r="B770" s="53"/>
      <c r="C770" s="53"/>
      <c r="D770" s="53"/>
    </row>
    <row r="771" spans="1:4" ht="42.75" customHeight="1" thickBot="1" x14ac:dyDescent="0.6">
      <c r="A771" s="1"/>
      <c r="B771" s="2"/>
      <c r="C771" s="2"/>
      <c r="D771" s="3"/>
    </row>
    <row r="772" spans="1:4" ht="42.75" customHeight="1" thickBot="1" x14ac:dyDescent="0.6">
      <c r="A772" s="10"/>
      <c r="B772" s="11"/>
      <c r="C772" s="12"/>
      <c r="D772" s="11"/>
    </row>
    <row r="773" spans="1:4" ht="42.75" customHeight="1" thickBot="1" x14ac:dyDescent="0.6">
      <c r="A773" s="14"/>
      <c r="B773" s="15"/>
      <c r="C773" s="16"/>
      <c r="D773" s="17"/>
    </row>
    <row r="774" spans="1:4" ht="42.75" customHeight="1" thickBot="1" x14ac:dyDescent="0.6">
      <c r="A774" s="15"/>
      <c r="B774" s="15"/>
      <c r="C774" s="20"/>
      <c r="D774" s="21"/>
    </row>
    <row r="775" spans="1:4" ht="42.75" customHeight="1" thickBot="1" x14ac:dyDescent="0.6">
      <c r="A775" s="23"/>
      <c r="B775" s="24"/>
      <c r="C775" s="25"/>
      <c r="D775" s="26"/>
    </row>
    <row r="776" spans="1:4" ht="42.75" customHeight="1" thickBot="1" x14ac:dyDescent="0.6">
      <c r="A776" s="23"/>
      <c r="B776" s="24"/>
      <c r="C776" s="31"/>
      <c r="D776" s="32"/>
    </row>
    <row r="777" spans="1:4" ht="42.75" customHeight="1" thickBot="1" x14ac:dyDescent="0.7">
      <c r="A777" s="34"/>
      <c r="B777" s="35"/>
      <c r="C777" s="36"/>
      <c r="D777" s="32"/>
    </row>
    <row r="778" spans="1:4" ht="42.75" customHeight="1" thickBot="1" x14ac:dyDescent="0.6">
      <c r="A778" s="38"/>
      <c r="B778" s="39"/>
      <c r="C778" s="31"/>
      <c r="D778" s="32"/>
    </row>
    <row r="779" spans="1:4" ht="42.75" customHeight="1" thickBot="1" x14ac:dyDescent="0.6">
      <c r="A779" s="40"/>
      <c r="B779" s="41"/>
      <c r="C779" s="31"/>
      <c r="D779" s="32"/>
    </row>
    <row r="780" spans="1:4" ht="42.75" customHeight="1" thickBot="1" x14ac:dyDescent="0.6">
      <c r="A780" s="42"/>
      <c r="B780" s="43"/>
      <c r="C780" s="31"/>
      <c r="D780" s="32"/>
    </row>
    <row r="781" spans="1:4" ht="42.75" customHeight="1" thickBot="1" x14ac:dyDescent="0.6">
      <c r="A781" s="44"/>
      <c r="B781" s="45"/>
      <c r="C781" s="45"/>
      <c r="D781" s="46"/>
    </row>
    <row r="782" spans="1:4" ht="42.75" customHeight="1" thickBot="1" x14ac:dyDescent="0.6">
      <c r="A782" s="56"/>
      <c r="B782" s="57"/>
      <c r="C782" s="57"/>
      <c r="D782" s="58"/>
    </row>
    <row r="783" spans="1:4" ht="42.75" customHeight="1" thickBot="1" x14ac:dyDescent="0.6">
      <c r="A783" s="50"/>
      <c r="B783" s="51"/>
      <c r="C783" s="51"/>
      <c r="D783" s="52"/>
    </row>
    <row r="784" spans="1:4" ht="42.75" customHeight="1" thickBot="1" x14ac:dyDescent="0.6">
      <c r="A784" s="1"/>
      <c r="B784" s="2"/>
      <c r="C784" s="2"/>
      <c r="D784" s="3"/>
    </row>
    <row r="785" spans="1:4" ht="42.75" customHeight="1" thickBot="1" x14ac:dyDescent="0.6">
      <c r="A785" s="10"/>
      <c r="B785" s="11"/>
      <c r="C785" s="12"/>
      <c r="D785" s="11"/>
    </row>
    <row r="786" spans="1:4" ht="42.75" customHeight="1" thickBot="1" x14ac:dyDescent="0.6">
      <c r="A786" s="14"/>
      <c r="B786" s="15"/>
      <c r="C786" s="16"/>
      <c r="D786" s="17"/>
    </row>
    <row r="787" spans="1:4" ht="42.75" customHeight="1" thickBot="1" x14ac:dyDescent="0.6">
      <c r="A787" s="15"/>
      <c r="B787" s="15"/>
      <c r="C787" s="20"/>
      <c r="D787" s="21"/>
    </row>
    <row r="788" spans="1:4" ht="42.75" customHeight="1" thickBot="1" x14ac:dyDescent="0.6">
      <c r="A788" s="23"/>
      <c r="B788" s="24"/>
      <c r="C788" s="25"/>
      <c r="D788" s="26"/>
    </row>
    <row r="789" spans="1:4" ht="42.75" customHeight="1" thickBot="1" x14ac:dyDescent="0.6">
      <c r="A789" s="23"/>
      <c r="B789" s="24"/>
      <c r="C789" s="31"/>
      <c r="D789" s="32"/>
    </row>
    <row r="790" spans="1:4" ht="42.75" customHeight="1" thickBot="1" x14ac:dyDescent="0.7">
      <c r="A790" s="34"/>
      <c r="B790" s="35"/>
      <c r="C790" s="36"/>
      <c r="D790" s="32"/>
    </row>
    <row r="791" spans="1:4" ht="42.75" customHeight="1" thickBot="1" x14ac:dyDescent="0.6">
      <c r="A791" s="38"/>
      <c r="B791" s="39"/>
      <c r="C791" s="31"/>
      <c r="D791" s="32"/>
    </row>
    <row r="792" spans="1:4" ht="42.75" customHeight="1" thickBot="1" x14ac:dyDescent="0.6">
      <c r="A792" s="40"/>
      <c r="B792" s="41"/>
      <c r="C792" s="31"/>
      <c r="D792" s="32"/>
    </row>
    <row r="793" spans="1:4" ht="42.75" customHeight="1" thickBot="1" x14ac:dyDescent="0.6">
      <c r="A793" s="42"/>
      <c r="B793" s="43"/>
      <c r="C793" s="31"/>
      <c r="D793" s="32"/>
    </row>
    <row r="794" spans="1:4" ht="42.75" customHeight="1" thickBot="1" x14ac:dyDescent="0.6">
      <c r="A794" s="44"/>
      <c r="B794" s="45"/>
      <c r="C794" s="45"/>
      <c r="D794" s="46"/>
    </row>
    <row r="795" spans="1:4" ht="42.75" customHeight="1" thickBot="1" x14ac:dyDescent="0.6">
      <c r="A795" s="47"/>
      <c r="B795" s="48"/>
      <c r="C795" s="48"/>
      <c r="D795" s="49"/>
    </row>
    <row r="796" spans="1:4" ht="42.75" customHeight="1" thickBot="1" x14ac:dyDescent="0.6">
      <c r="A796" s="50"/>
      <c r="B796" s="51"/>
      <c r="C796" s="51"/>
      <c r="D796" s="52"/>
    </row>
    <row r="797" spans="1:4" ht="42.75" customHeight="1" thickBot="1" x14ac:dyDescent="0.6">
      <c r="A797" s="53"/>
      <c r="B797" s="53"/>
      <c r="C797" s="53"/>
      <c r="D797" s="53"/>
    </row>
    <row r="798" spans="1:4" ht="42.75" customHeight="1" thickBot="1" x14ac:dyDescent="0.6">
      <c r="A798" s="1"/>
      <c r="B798" s="2"/>
      <c r="C798" s="2"/>
      <c r="D798" s="3"/>
    </row>
    <row r="799" spans="1:4" ht="42.75" customHeight="1" thickBot="1" x14ac:dyDescent="0.6">
      <c r="A799" s="10"/>
      <c r="B799" s="11"/>
      <c r="C799" s="12"/>
      <c r="D799" s="11"/>
    </row>
    <row r="800" spans="1:4" ht="42.75" customHeight="1" thickBot="1" x14ac:dyDescent="0.6">
      <c r="A800" s="14"/>
      <c r="B800" s="15"/>
      <c r="C800" s="16"/>
      <c r="D800" s="17"/>
    </row>
    <row r="801" spans="1:4" ht="42.75" customHeight="1" thickBot="1" x14ac:dyDescent="0.6">
      <c r="A801" s="15"/>
      <c r="B801" s="15"/>
      <c r="C801" s="20"/>
      <c r="D801" s="21"/>
    </row>
    <row r="802" spans="1:4" ht="42.75" customHeight="1" thickBot="1" x14ac:dyDescent="0.6">
      <c r="A802" s="23"/>
      <c r="B802" s="24"/>
      <c r="C802" s="25"/>
      <c r="D802" s="26"/>
    </row>
    <row r="803" spans="1:4" ht="42.75" customHeight="1" thickBot="1" x14ac:dyDescent="0.6">
      <c r="A803" s="23"/>
      <c r="B803" s="24"/>
      <c r="C803" s="31"/>
      <c r="D803" s="32"/>
    </row>
    <row r="804" spans="1:4" ht="42.75" customHeight="1" thickBot="1" x14ac:dyDescent="0.7">
      <c r="A804" s="34"/>
      <c r="B804" s="35"/>
      <c r="C804" s="36"/>
      <c r="D804" s="32"/>
    </row>
    <row r="805" spans="1:4" ht="42.75" customHeight="1" thickBot="1" x14ac:dyDescent="0.6">
      <c r="A805" s="38"/>
      <c r="B805" s="39"/>
      <c r="C805" s="31"/>
      <c r="D805" s="32"/>
    </row>
    <row r="806" spans="1:4" ht="42.75" customHeight="1" thickBot="1" x14ac:dyDescent="0.6">
      <c r="A806" s="40"/>
      <c r="B806" s="41"/>
      <c r="C806" s="31"/>
      <c r="D806" s="32"/>
    </row>
    <row r="807" spans="1:4" ht="42.75" customHeight="1" thickBot="1" x14ac:dyDescent="0.6">
      <c r="A807" s="42"/>
      <c r="B807" s="43"/>
      <c r="C807" s="31"/>
      <c r="D807" s="32"/>
    </row>
    <row r="808" spans="1:4" ht="42.75" customHeight="1" thickBot="1" x14ac:dyDescent="0.6">
      <c r="A808" s="44"/>
      <c r="B808" s="45"/>
      <c r="C808" s="45"/>
      <c r="D808" s="46"/>
    </row>
    <row r="809" spans="1:4" ht="42.75" customHeight="1" thickBot="1" x14ac:dyDescent="0.6">
      <c r="A809" s="56"/>
      <c r="B809" s="57"/>
      <c r="C809" s="57"/>
      <c r="D809" s="58"/>
    </row>
    <row r="810" spans="1:4" ht="42.75" customHeight="1" thickBot="1" x14ac:dyDescent="0.6">
      <c r="A810" s="50"/>
      <c r="B810" s="51"/>
      <c r="C810" s="51"/>
      <c r="D810" s="52"/>
    </row>
    <row r="811" spans="1:4" ht="42.75" customHeight="1" thickBot="1" x14ac:dyDescent="0.6">
      <c r="A811" s="1"/>
      <c r="B811" s="2"/>
      <c r="C811" s="2"/>
      <c r="D811" s="3"/>
    </row>
    <row r="812" spans="1:4" ht="42.75" customHeight="1" thickBot="1" x14ac:dyDescent="0.6">
      <c r="A812" s="10"/>
      <c r="B812" s="11"/>
      <c r="C812" s="12"/>
      <c r="D812" s="11"/>
    </row>
    <row r="813" spans="1:4" ht="42.75" customHeight="1" thickBot="1" x14ac:dyDescent="0.6">
      <c r="A813" s="14"/>
      <c r="B813" s="15"/>
      <c r="C813" s="16"/>
      <c r="D813" s="17"/>
    </row>
    <row r="814" spans="1:4" ht="42.75" customHeight="1" thickBot="1" x14ac:dyDescent="0.6">
      <c r="A814" s="15"/>
      <c r="B814" s="23"/>
      <c r="C814" s="24"/>
      <c r="D814" s="21"/>
    </row>
    <row r="815" spans="1:4" ht="42.75" customHeight="1" thickBot="1" x14ac:dyDescent="0.6">
      <c r="A815" s="23"/>
      <c r="B815" s="24"/>
      <c r="C815" s="25"/>
      <c r="D815" s="26"/>
    </row>
    <row r="816" spans="1:4" ht="42.75" customHeight="1" thickBot="1" x14ac:dyDescent="0.6">
      <c r="A816" s="23"/>
      <c r="B816" s="24"/>
      <c r="C816" s="31"/>
      <c r="D816" s="32"/>
    </row>
    <row r="817" spans="1:4" ht="42.75" customHeight="1" thickBot="1" x14ac:dyDescent="0.7">
      <c r="A817" s="34"/>
      <c r="B817" s="35"/>
      <c r="C817" s="36"/>
      <c r="D817" s="32"/>
    </row>
    <row r="818" spans="1:4" ht="42.75" customHeight="1" thickBot="1" x14ac:dyDescent="0.6">
      <c r="A818" s="38"/>
      <c r="B818" s="39"/>
      <c r="C818" s="31"/>
      <c r="D818" s="32"/>
    </row>
    <row r="819" spans="1:4" ht="42.75" customHeight="1" thickBot="1" x14ac:dyDescent="0.6">
      <c r="A819" s="40"/>
      <c r="B819" s="41"/>
      <c r="C819" s="31"/>
      <c r="D819" s="32"/>
    </row>
    <row r="820" spans="1:4" ht="42.75" customHeight="1" thickBot="1" x14ac:dyDescent="0.6">
      <c r="A820" s="42"/>
      <c r="B820" s="43"/>
      <c r="C820" s="31"/>
      <c r="D820" s="32"/>
    </row>
    <row r="821" spans="1:4" ht="42.75" customHeight="1" thickBot="1" x14ac:dyDescent="0.6">
      <c r="A821" s="44"/>
      <c r="B821" s="45"/>
      <c r="C821" s="45"/>
      <c r="D821" s="46"/>
    </row>
    <row r="822" spans="1:4" ht="42.75" customHeight="1" thickBot="1" x14ac:dyDescent="0.6">
      <c r="A822" s="47"/>
      <c r="B822" s="48"/>
      <c r="C822" s="48"/>
      <c r="D822" s="49"/>
    </row>
    <row r="823" spans="1:4" ht="42.75" customHeight="1" thickBot="1" x14ac:dyDescent="0.6">
      <c r="A823" s="50"/>
      <c r="B823" s="51"/>
      <c r="C823" s="51"/>
      <c r="D823" s="52"/>
    </row>
    <row r="824" spans="1:4" ht="42.75" customHeight="1" thickBot="1" x14ac:dyDescent="0.6">
      <c r="A824" s="53"/>
      <c r="B824" s="53"/>
      <c r="C824" s="53"/>
      <c r="D824" s="53"/>
    </row>
    <row r="825" spans="1:4" ht="42.75" customHeight="1" thickBot="1" x14ac:dyDescent="0.6">
      <c r="A825" s="1"/>
      <c r="B825" s="2"/>
      <c r="C825" s="2"/>
      <c r="D825" s="3"/>
    </row>
    <row r="826" spans="1:4" ht="42.75" customHeight="1" thickBot="1" x14ac:dyDescent="0.6">
      <c r="A826" s="10"/>
      <c r="B826" s="11"/>
      <c r="C826" s="12"/>
      <c r="D826" s="11"/>
    </row>
    <row r="827" spans="1:4" ht="42.75" customHeight="1" thickBot="1" x14ac:dyDescent="0.6">
      <c r="A827" s="14"/>
      <c r="B827" s="15"/>
      <c r="C827" s="16"/>
      <c r="D827" s="17"/>
    </row>
    <row r="828" spans="1:4" ht="42.75" customHeight="1" thickBot="1" x14ac:dyDescent="0.6">
      <c r="A828" s="15"/>
      <c r="B828" s="15"/>
      <c r="C828" s="20"/>
      <c r="D828" s="21"/>
    </row>
    <row r="829" spans="1:4" ht="42.75" customHeight="1" thickBot="1" x14ac:dyDescent="0.6">
      <c r="A829" s="23"/>
      <c r="B829" s="24"/>
      <c r="C829" s="25"/>
      <c r="D829" s="26"/>
    </row>
    <row r="830" spans="1:4" ht="42.75" customHeight="1" thickBot="1" x14ac:dyDescent="0.6">
      <c r="A830" s="23"/>
      <c r="B830" s="24"/>
      <c r="C830" s="31"/>
      <c r="D830" s="32"/>
    </row>
    <row r="831" spans="1:4" ht="42.75" customHeight="1" thickBot="1" x14ac:dyDescent="0.7">
      <c r="A831" s="34"/>
      <c r="B831" s="35"/>
      <c r="C831" s="36"/>
      <c r="D831" s="32"/>
    </row>
    <row r="832" spans="1:4" ht="42.75" customHeight="1" thickBot="1" x14ac:dyDescent="0.6">
      <c r="A832" s="38"/>
      <c r="B832" s="39"/>
      <c r="C832" s="31"/>
      <c r="D832" s="32"/>
    </row>
    <row r="833" spans="1:4" ht="42.75" customHeight="1" thickBot="1" x14ac:dyDescent="0.6">
      <c r="A833" s="40"/>
      <c r="B833" s="41"/>
      <c r="C833" s="31"/>
      <c r="D833" s="32"/>
    </row>
    <row r="834" spans="1:4" ht="42.75" customHeight="1" thickBot="1" x14ac:dyDescent="0.6">
      <c r="A834" s="42"/>
      <c r="B834" s="43"/>
      <c r="C834" s="31"/>
      <c r="D834" s="32"/>
    </row>
    <row r="835" spans="1:4" ht="42.75" customHeight="1" thickBot="1" x14ac:dyDescent="0.6">
      <c r="A835" s="44"/>
      <c r="B835" s="45"/>
      <c r="C835" s="45"/>
      <c r="D835" s="46"/>
    </row>
    <row r="836" spans="1:4" ht="42.75" customHeight="1" thickBot="1" x14ac:dyDescent="0.6">
      <c r="A836" s="56"/>
      <c r="B836" s="57"/>
      <c r="C836" s="57"/>
      <c r="D836" s="58"/>
    </row>
    <row r="837" spans="1:4" ht="42.75" customHeight="1" thickBot="1" x14ac:dyDescent="0.6">
      <c r="A837" s="50"/>
      <c r="B837" s="51"/>
      <c r="C837" s="51"/>
      <c r="D837" s="52"/>
    </row>
    <row r="838" spans="1:4" ht="42.75" customHeight="1" thickBot="1" x14ac:dyDescent="0.6">
      <c r="A838" s="1"/>
      <c r="B838" s="2"/>
      <c r="C838" s="2"/>
      <c r="D838" s="3"/>
    </row>
    <row r="839" spans="1:4" ht="42.75" customHeight="1" thickBot="1" x14ac:dyDescent="0.6">
      <c r="A839" s="10"/>
      <c r="B839" s="11"/>
      <c r="C839" s="12"/>
      <c r="D839" s="11"/>
    </row>
    <row r="840" spans="1:4" ht="42.75" customHeight="1" thickBot="1" x14ac:dyDescent="0.6">
      <c r="A840" s="14"/>
      <c r="B840" s="15"/>
      <c r="C840" s="16"/>
      <c r="D840" s="17"/>
    </row>
    <row r="841" spans="1:4" ht="42.75" customHeight="1" thickBot="1" x14ac:dyDescent="0.6">
      <c r="A841" s="15"/>
      <c r="B841" s="15"/>
      <c r="C841" s="20"/>
      <c r="D841" s="21"/>
    </row>
    <row r="842" spans="1:4" ht="42.75" customHeight="1" thickBot="1" x14ac:dyDescent="0.6">
      <c r="A842" s="23"/>
      <c r="B842" s="24"/>
      <c r="C842" s="25"/>
      <c r="D842" s="26"/>
    </row>
    <row r="843" spans="1:4" ht="42.75" customHeight="1" thickBot="1" x14ac:dyDescent="0.6">
      <c r="A843" s="23"/>
      <c r="B843" s="24"/>
      <c r="C843" s="31"/>
      <c r="D843" s="32"/>
    </row>
    <row r="844" spans="1:4" ht="42.75" customHeight="1" thickBot="1" x14ac:dyDescent="0.7">
      <c r="A844" s="34"/>
      <c r="B844" s="35"/>
      <c r="C844" s="36"/>
      <c r="D844" s="32"/>
    </row>
    <row r="845" spans="1:4" ht="42.75" customHeight="1" thickBot="1" x14ac:dyDescent="0.6">
      <c r="A845" s="38"/>
      <c r="B845" s="39"/>
      <c r="C845" s="31"/>
      <c r="D845" s="32"/>
    </row>
    <row r="846" spans="1:4" ht="42.75" customHeight="1" thickBot="1" x14ac:dyDescent="0.6">
      <c r="A846" s="40"/>
      <c r="B846" s="41"/>
      <c r="C846" s="31"/>
      <c r="D846" s="32"/>
    </row>
    <row r="847" spans="1:4" ht="42.75" customHeight="1" thickBot="1" x14ac:dyDescent="0.6">
      <c r="A847" s="42"/>
      <c r="B847" s="43"/>
      <c r="C847" s="31"/>
      <c r="D847" s="32"/>
    </row>
    <row r="848" spans="1:4" ht="42.75" customHeight="1" thickBot="1" x14ac:dyDescent="0.6">
      <c r="A848" s="44"/>
      <c r="B848" s="45"/>
      <c r="C848" s="45"/>
      <c r="D848" s="46"/>
    </row>
    <row r="849" spans="1:4" ht="42.75" customHeight="1" thickBot="1" x14ac:dyDescent="0.6">
      <c r="A849" s="47"/>
      <c r="B849" s="48"/>
      <c r="C849" s="48"/>
      <c r="D849" s="49"/>
    </row>
    <row r="850" spans="1:4" ht="42.75" customHeight="1" thickBot="1" x14ac:dyDescent="0.6">
      <c r="A850" s="50"/>
      <c r="B850" s="51"/>
      <c r="C850" s="51"/>
      <c r="D850" s="52"/>
    </row>
    <row r="851" spans="1:4" ht="42.75" customHeight="1" thickBot="1" x14ac:dyDescent="0.6">
      <c r="A851" s="53"/>
      <c r="B851" s="53"/>
      <c r="C851" s="53"/>
      <c r="D851" s="53"/>
    </row>
    <row r="852" spans="1:4" ht="42.75" customHeight="1" thickBot="1" x14ac:dyDescent="0.6">
      <c r="A852" s="1"/>
      <c r="B852" s="2"/>
      <c r="C852" s="2"/>
      <c r="D852" s="3"/>
    </row>
    <row r="853" spans="1:4" ht="42.75" customHeight="1" thickBot="1" x14ac:dyDescent="0.6">
      <c r="A853" s="10"/>
      <c r="B853" s="11"/>
      <c r="C853" s="12"/>
      <c r="D853" s="11"/>
    </row>
    <row r="854" spans="1:4" ht="42.75" customHeight="1" thickBot="1" x14ac:dyDescent="0.6">
      <c r="A854" s="14"/>
      <c r="B854" s="15"/>
      <c r="C854" s="16"/>
      <c r="D854" s="17"/>
    </row>
    <row r="855" spans="1:4" ht="42.75" customHeight="1" thickBot="1" x14ac:dyDescent="0.6">
      <c r="A855" s="15"/>
      <c r="B855" s="15"/>
      <c r="C855" s="20"/>
      <c r="D855" s="21"/>
    </row>
    <row r="856" spans="1:4" ht="42.75" customHeight="1" thickBot="1" x14ac:dyDescent="0.6">
      <c r="A856" s="23"/>
      <c r="B856" s="24"/>
      <c r="C856" s="25"/>
      <c r="D856" s="26"/>
    </row>
    <row r="857" spans="1:4" ht="42.75" customHeight="1" thickBot="1" x14ac:dyDescent="0.6">
      <c r="A857" s="23"/>
      <c r="B857" s="24"/>
      <c r="C857" s="31"/>
      <c r="D857" s="32"/>
    </row>
    <row r="858" spans="1:4" ht="42.75" customHeight="1" thickBot="1" x14ac:dyDescent="0.7">
      <c r="A858" s="34"/>
      <c r="B858" s="35"/>
      <c r="C858" s="36"/>
      <c r="D858" s="32"/>
    </row>
    <row r="859" spans="1:4" ht="42.75" customHeight="1" thickBot="1" x14ac:dyDescent="0.6">
      <c r="A859" s="38"/>
      <c r="B859" s="39"/>
      <c r="C859" s="31"/>
      <c r="D859" s="32"/>
    </row>
    <row r="860" spans="1:4" ht="42.75" customHeight="1" thickBot="1" x14ac:dyDescent="0.6">
      <c r="A860" s="40"/>
      <c r="B860" s="41"/>
      <c r="C860" s="31"/>
      <c r="D860" s="32"/>
    </row>
    <row r="861" spans="1:4" ht="42.75" customHeight="1" thickBot="1" x14ac:dyDescent="0.6">
      <c r="A861" s="42"/>
      <c r="B861" s="43"/>
      <c r="C861" s="31"/>
      <c r="D861" s="32"/>
    </row>
    <row r="862" spans="1:4" ht="42.75" customHeight="1" thickBot="1" x14ac:dyDescent="0.6">
      <c r="A862" s="44"/>
      <c r="B862" s="45"/>
      <c r="C862" s="45"/>
      <c r="D862" s="46"/>
    </row>
    <row r="863" spans="1:4" ht="42.75" customHeight="1" thickBot="1" x14ac:dyDescent="0.6">
      <c r="A863" s="56"/>
      <c r="B863" s="57"/>
      <c r="C863" s="57"/>
      <c r="D863" s="58"/>
    </row>
    <row r="864" spans="1:4" ht="42.75" customHeight="1" thickBot="1" x14ac:dyDescent="0.6">
      <c r="A864" s="50"/>
      <c r="B864" s="51"/>
      <c r="C864" s="51"/>
      <c r="D864" s="52"/>
    </row>
    <row r="865" spans="1:4" ht="42.75" customHeight="1" thickBot="1" x14ac:dyDescent="0.6">
      <c r="A865" s="1"/>
      <c r="B865" s="2"/>
      <c r="C865" s="2"/>
      <c r="D865" s="3"/>
    </row>
    <row r="866" spans="1:4" ht="42.75" customHeight="1" thickBot="1" x14ac:dyDescent="0.6">
      <c r="A866" s="10"/>
      <c r="B866" s="11"/>
      <c r="C866" s="12"/>
      <c r="D866" s="11"/>
    </row>
    <row r="867" spans="1:4" ht="42.75" customHeight="1" thickBot="1" x14ac:dyDescent="0.6">
      <c r="A867" s="14"/>
      <c r="B867" s="15"/>
      <c r="C867" s="16"/>
      <c r="D867" s="17"/>
    </row>
    <row r="868" spans="1:4" ht="42.75" customHeight="1" thickBot="1" x14ac:dyDescent="0.6">
      <c r="A868" s="15"/>
      <c r="B868" s="15"/>
      <c r="C868" s="20"/>
      <c r="D868" s="21"/>
    </row>
    <row r="869" spans="1:4" ht="42.75" customHeight="1" thickBot="1" x14ac:dyDescent="0.6">
      <c r="A869" s="23"/>
      <c r="B869" s="24"/>
      <c r="C869" s="25"/>
      <c r="D869" s="26"/>
    </row>
    <row r="870" spans="1:4" ht="42.75" customHeight="1" thickBot="1" x14ac:dyDescent="0.6">
      <c r="A870" s="23"/>
      <c r="B870" s="24"/>
      <c r="C870" s="31"/>
      <c r="D870" s="32"/>
    </row>
    <row r="871" spans="1:4" ht="42.75" customHeight="1" thickBot="1" x14ac:dyDescent="0.7">
      <c r="A871" s="34"/>
      <c r="B871" s="35"/>
      <c r="C871" s="36"/>
      <c r="D871" s="32"/>
    </row>
    <row r="872" spans="1:4" ht="42.75" customHeight="1" thickBot="1" x14ac:dyDescent="0.6">
      <c r="A872" s="38"/>
      <c r="B872" s="39"/>
      <c r="C872" s="31"/>
      <c r="D872" s="32"/>
    </row>
    <row r="873" spans="1:4" ht="42.75" customHeight="1" thickBot="1" x14ac:dyDescent="0.6">
      <c r="A873" s="40"/>
      <c r="B873" s="41"/>
      <c r="C873" s="31"/>
      <c r="D873" s="32"/>
    </row>
    <row r="874" spans="1:4" ht="42.75" customHeight="1" thickBot="1" x14ac:dyDescent="0.6">
      <c r="A874" s="42"/>
      <c r="B874" s="43"/>
      <c r="C874" s="31"/>
      <c r="D874" s="32"/>
    </row>
    <row r="875" spans="1:4" ht="42.75" customHeight="1" thickBot="1" x14ac:dyDescent="0.6">
      <c r="A875" s="44"/>
      <c r="B875" s="45"/>
      <c r="C875" s="45"/>
      <c r="D875" s="46"/>
    </row>
    <row r="876" spans="1:4" ht="42.75" customHeight="1" thickBot="1" x14ac:dyDescent="0.6">
      <c r="A876" s="47"/>
      <c r="B876" s="48"/>
      <c r="C876" s="48"/>
      <c r="D876" s="49"/>
    </row>
    <row r="877" spans="1:4" ht="42.75" customHeight="1" thickBot="1" x14ac:dyDescent="0.6">
      <c r="A877" s="50"/>
      <c r="B877" s="51"/>
      <c r="C877" s="51"/>
      <c r="D877" s="52"/>
    </row>
    <row r="878" spans="1:4" ht="42.75" customHeight="1" thickBot="1" x14ac:dyDescent="0.6">
      <c r="A878" s="53"/>
      <c r="B878" s="53"/>
      <c r="C878" s="53"/>
      <c r="D878" s="53"/>
    </row>
    <row r="879" spans="1:4" ht="42.75" customHeight="1" thickBot="1" x14ac:dyDescent="0.6">
      <c r="A879" s="1"/>
      <c r="B879" s="2"/>
      <c r="C879" s="2"/>
      <c r="D879" s="3"/>
    </row>
    <row r="880" spans="1:4" ht="42.75" customHeight="1" thickBot="1" x14ac:dyDescent="0.6">
      <c r="A880" s="10"/>
      <c r="B880" s="11"/>
      <c r="C880" s="12"/>
      <c r="D880" s="11"/>
    </row>
    <row r="881" spans="1:4" ht="42.75" customHeight="1" thickBot="1" x14ac:dyDescent="0.6">
      <c r="A881" s="14"/>
      <c r="B881" s="15"/>
      <c r="C881" s="16"/>
      <c r="D881" s="17"/>
    </row>
    <row r="882" spans="1:4" ht="42.75" customHeight="1" thickBot="1" x14ac:dyDescent="0.6">
      <c r="A882" s="15"/>
      <c r="B882" s="15"/>
      <c r="C882" s="20"/>
      <c r="D882" s="21"/>
    </row>
    <row r="883" spans="1:4" ht="42.75" customHeight="1" thickBot="1" x14ac:dyDescent="0.6">
      <c r="A883" s="23"/>
      <c r="B883" s="24"/>
      <c r="C883" s="25"/>
      <c r="D883" s="26"/>
    </row>
    <row r="884" spans="1:4" ht="42.75" customHeight="1" thickBot="1" x14ac:dyDescent="0.6">
      <c r="A884" s="23"/>
      <c r="B884" s="24"/>
      <c r="C884" s="31"/>
      <c r="D884" s="32"/>
    </row>
    <row r="885" spans="1:4" ht="42.75" customHeight="1" thickBot="1" x14ac:dyDescent="0.7">
      <c r="A885" s="34"/>
      <c r="B885" s="35"/>
      <c r="C885" s="36"/>
      <c r="D885" s="32"/>
    </row>
    <row r="886" spans="1:4" ht="42.75" customHeight="1" thickBot="1" x14ac:dyDescent="0.6">
      <c r="A886" s="38"/>
      <c r="B886" s="39"/>
      <c r="C886" s="31"/>
      <c r="D886" s="32"/>
    </row>
    <row r="887" spans="1:4" ht="42.75" customHeight="1" thickBot="1" x14ac:dyDescent="0.6">
      <c r="A887" s="40"/>
      <c r="B887" s="41"/>
      <c r="C887" s="31"/>
      <c r="D887" s="32"/>
    </row>
    <row r="888" spans="1:4" ht="42.75" customHeight="1" thickBot="1" x14ac:dyDescent="0.6">
      <c r="A888" s="42"/>
      <c r="B888" s="43"/>
      <c r="C888" s="31"/>
      <c r="D888" s="32"/>
    </row>
    <row r="889" spans="1:4" ht="42.75" customHeight="1" thickBot="1" x14ac:dyDescent="0.6">
      <c r="A889" s="44"/>
      <c r="B889" s="45"/>
      <c r="C889" s="45"/>
      <c r="D889" s="46"/>
    </row>
    <row r="890" spans="1:4" ht="42.75" customHeight="1" thickBot="1" x14ac:dyDescent="0.6">
      <c r="A890" s="56"/>
      <c r="B890" s="57"/>
      <c r="C890" s="57"/>
      <c r="D890" s="58"/>
    </row>
    <row r="891" spans="1:4" ht="42.75" customHeight="1" thickBot="1" x14ac:dyDescent="0.6">
      <c r="A891" s="50"/>
      <c r="B891" s="51"/>
      <c r="C891" s="51"/>
      <c r="D891" s="52"/>
    </row>
    <row r="892" spans="1:4" ht="42.75" customHeight="1" thickBot="1" x14ac:dyDescent="0.6">
      <c r="A892" s="1"/>
      <c r="B892" s="2"/>
      <c r="C892" s="2"/>
      <c r="D892" s="3"/>
    </row>
    <row r="893" spans="1:4" ht="42.75" customHeight="1" thickBot="1" x14ac:dyDescent="0.6">
      <c r="A893" s="10"/>
      <c r="B893" s="11"/>
      <c r="C893" s="12"/>
      <c r="D893" s="11"/>
    </row>
    <row r="894" spans="1:4" ht="42.75" customHeight="1" thickBot="1" x14ac:dyDescent="0.6">
      <c r="A894" s="14"/>
      <c r="B894" s="15"/>
      <c r="C894" s="16"/>
      <c r="D894" s="17"/>
    </row>
    <row r="895" spans="1:4" ht="42.75" customHeight="1" thickBot="1" x14ac:dyDescent="0.6">
      <c r="A895" s="15"/>
      <c r="B895" s="15"/>
      <c r="C895" s="20"/>
      <c r="D895" s="21"/>
    </row>
    <row r="896" spans="1:4" ht="42.75" customHeight="1" thickBot="1" x14ac:dyDescent="0.6">
      <c r="A896" s="23"/>
      <c r="B896" s="24"/>
      <c r="C896" s="25"/>
      <c r="D896" s="26"/>
    </row>
    <row r="897" spans="1:4" ht="42.75" customHeight="1" thickBot="1" x14ac:dyDescent="0.6">
      <c r="A897" s="23"/>
      <c r="B897" s="24"/>
      <c r="C897" s="31"/>
      <c r="D897" s="32"/>
    </row>
    <row r="898" spans="1:4" ht="42.75" customHeight="1" thickBot="1" x14ac:dyDescent="0.7">
      <c r="A898" s="34"/>
      <c r="B898" s="35"/>
      <c r="C898" s="36"/>
      <c r="D898" s="32"/>
    </row>
    <row r="899" spans="1:4" ht="42.75" customHeight="1" thickBot="1" x14ac:dyDescent="0.6">
      <c r="A899" s="38"/>
      <c r="B899" s="39"/>
      <c r="C899" s="31"/>
      <c r="D899" s="32"/>
    </row>
    <row r="900" spans="1:4" ht="42.75" customHeight="1" thickBot="1" x14ac:dyDescent="0.6">
      <c r="A900" s="40"/>
      <c r="B900" s="41"/>
      <c r="C900" s="31"/>
      <c r="D900" s="32"/>
    </row>
    <row r="901" spans="1:4" ht="42.75" customHeight="1" thickBot="1" x14ac:dyDescent="0.6">
      <c r="A901" s="42"/>
      <c r="B901" s="43"/>
      <c r="C901" s="31"/>
      <c r="D901" s="32"/>
    </row>
    <row r="902" spans="1:4" ht="42.75" customHeight="1" thickBot="1" x14ac:dyDescent="0.6">
      <c r="A902" s="44"/>
      <c r="B902" s="45"/>
      <c r="C902" s="45"/>
      <c r="D902" s="46"/>
    </row>
    <row r="903" spans="1:4" ht="42.75" customHeight="1" thickBot="1" x14ac:dyDescent="0.6">
      <c r="A903" s="47"/>
      <c r="B903" s="48"/>
      <c r="C903" s="48"/>
      <c r="D903" s="49"/>
    </row>
    <row r="904" spans="1:4" ht="42.75" customHeight="1" thickBot="1" x14ac:dyDescent="0.6">
      <c r="A904" s="50"/>
      <c r="B904" s="51"/>
      <c r="C904" s="51"/>
      <c r="D904" s="52"/>
    </row>
    <row r="905" spans="1:4" ht="42.75" customHeight="1" thickBot="1" x14ac:dyDescent="0.6">
      <c r="A905" s="53"/>
      <c r="B905" s="53"/>
      <c r="C905" s="53"/>
      <c r="D905" s="53"/>
    </row>
    <row r="906" spans="1:4" ht="42.75" customHeight="1" thickBot="1" x14ac:dyDescent="0.6">
      <c r="A906" s="1"/>
      <c r="B906" s="2"/>
      <c r="C906" s="2"/>
      <c r="D906" s="3"/>
    </row>
    <row r="907" spans="1:4" ht="42.75" customHeight="1" thickBot="1" x14ac:dyDescent="0.6">
      <c r="A907" s="10"/>
      <c r="B907" s="11"/>
      <c r="C907" s="12"/>
      <c r="D907" s="11"/>
    </row>
    <row r="908" spans="1:4" ht="42.75" customHeight="1" thickBot="1" x14ac:dyDescent="0.6">
      <c r="A908" s="14"/>
      <c r="B908" s="15"/>
      <c r="C908" s="16"/>
      <c r="D908" s="17"/>
    </row>
    <row r="909" spans="1:4" ht="42.75" customHeight="1" thickBot="1" x14ac:dyDescent="0.6">
      <c r="A909" s="15"/>
      <c r="B909" s="15"/>
      <c r="C909" s="20"/>
      <c r="D909" s="21"/>
    </row>
    <row r="910" spans="1:4" ht="42.75" customHeight="1" thickBot="1" x14ac:dyDescent="0.6">
      <c r="A910" s="23"/>
      <c r="B910" s="24"/>
      <c r="C910" s="25"/>
      <c r="D910" s="26"/>
    </row>
    <row r="911" spans="1:4" ht="42.75" customHeight="1" thickBot="1" x14ac:dyDescent="0.6">
      <c r="A911" s="23"/>
      <c r="B911" s="24"/>
      <c r="C911" s="31"/>
      <c r="D911" s="32"/>
    </row>
    <row r="912" spans="1:4" ht="42.75" customHeight="1" thickBot="1" x14ac:dyDescent="0.7">
      <c r="A912" s="34"/>
      <c r="B912" s="35"/>
      <c r="C912" s="36"/>
      <c r="D912" s="32"/>
    </row>
    <row r="913" spans="1:4" ht="42.75" customHeight="1" thickBot="1" x14ac:dyDescent="0.6">
      <c r="A913" s="38"/>
      <c r="B913" s="39"/>
      <c r="C913" s="31"/>
      <c r="D913" s="32"/>
    </row>
    <row r="914" spans="1:4" ht="42.75" customHeight="1" thickBot="1" x14ac:dyDescent="0.6">
      <c r="A914" s="40"/>
      <c r="B914" s="41"/>
      <c r="C914" s="31"/>
      <c r="D914" s="32"/>
    </row>
    <row r="915" spans="1:4" ht="42.75" customHeight="1" thickBot="1" x14ac:dyDescent="0.6">
      <c r="A915" s="42"/>
      <c r="B915" s="43"/>
      <c r="C915" s="31"/>
      <c r="D915" s="32"/>
    </row>
    <row r="916" spans="1:4" ht="42.75" customHeight="1" thickBot="1" x14ac:dyDescent="0.6">
      <c r="A916" s="44"/>
      <c r="B916" s="45"/>
      <c r="C916" s="45"/>
      <c r="D916" s="46"/>
    </row>
    <row r="917" spans="1:4" ht="42.75" customHeight="1" thickBot="1" x14ac:dyDescent="0.6">
      <c r="A917" s="56"/>
      <c r="B917" s="57"/>
      <c r="C917" s="57"/>
      <c r="D917" s="58"/>
    </row>
    <row r="918" spans="1:4" ht="42.75" customHeight="1" thickBot="1" x14ac:dyDescent="0.6">
      <c r="A918" s="50"/>
      <c r="B918" s="51"/>
      <c r="C918" s="51"/>
      <c r="D918" s="52"/>
    </row>
    <row r="919" spans="1:4" ht="42.75" customHeight="1" thickBot="1" x14ac:dyDescent="0.6">
      <c r="A919" s="1"/>
      <c r="B919" s="2"/>
      <c r="C919" s="2"/>
      <c r="D919" s="3"/>
    </row>
    <row r="920" spans="1:4" ht="42.75" customHeight="1" thickBot="1" x14ac:dyDescent="0.6">
      <c r="A920" s="10"/>
      <c r="B920" s="11"/>
      <c r="C920" s="12"/>
      <c r="D920" s="11"/>
    </row>
    <row r="921" spans="1:4" ht="42.75" customHeight="1" thickBot="1" x14ac:dyDescent="0.6">
      <c r="A921" s="14"/>
      <c r="B921" s="15"/>
      <c r="C921" s="16"/>
      <c r="D921" s="17"/>
    </row>
    <row r="922" spans="1:4" ht="42.75" customHeight="1" thickBot="1" x14ac:dyDescent="0.6">
      <c r="A922" s="15"/>
      <c r="B922" s="15"/>
      <c r="C922" s="20"/>
      <c r="D922" s="21"/>
    </row>
    <row r="923" spans="1:4" ht="42.75" customHeight="1" thickBot="1" x14ac:dyDescent="0.6">
      <c r="A923" s="23"/>
      <c r="B923" s="24"/>
      <c r="C923" s="25"/>
      <c r="D923" s="26"/>
    </row>
    <row r="924" spans="1:4" ht="42.75" customHeight="1" thickBot="1" x14ac:dyDescent="0.6">
      <c r="A924" s="23"/>
      <c r="B924" s="24"/>
      <c r="C924" s="31"/>
      <c r="D924" s="32"/>
    </row>
    <row r="925" spans="1:4" ht="42.75" customHeight="1" thickBot="1" x14ac:dyDescent="0.7">
      <c r="A925" s="34"/>
      <c r="B925" s="35"/>
      <c r="C925" s="36"/>
      <c r="D925" s="32"/>
    </row>
    <row r="926" spans="1:4" ht="42.75" customHeight="1" thickBot="1" x14ac:dyDescent="0.6">
      <c r="A926" s="38"/>
      <c r="B926" s="39"/>
      <c r="C926" s="31"/>
      <c r="D926" s="32"/>
    </row>
    <row r="927" spans="1:4" ht="42.75" customHeight="1" thickBot="1" x14ac:dyDescent="0.6">
      <c r="A927" s="40"/>
      <c r="B927" s="41"/>
      <c r="C927" s="31"/>
      <c r="D927" s="32"/>
    </row>
    <row r="928" spans="1:4" ht="42.75" customHeight="1" thickBot="1" x14ac:dyDescent="0.6">
      <c r="A928" s="42"/>
      <c r="B928" s="43"/>
      <c r="C928" s="31"/>
      <c r="D928" s="32"/>
    </row>
    <row r="929" spans="1:4" ht="42.75" customHeight="1" thickBot="1" x14ac:dyDescent="0.6">
      <c r="A929" s="44"/>
      <c r="B929" s="45"/>
      <c r="C929" s="45"/>
      <c r="D929" s="46"/>
    </row>
    <row r="930" spans="1:4" ht="42.75" customHeight="1" thickBot="1" x14ac:dyDescent="0.6">
      <c r="A930" s="47"/>
      <c r="B930" s="48"/>
      <c r="C930" s="48"/>
      <c r="D930" s="49"/>
    </row>
    <row r="931" spans="1:4" ht="42.75" customHeight="1" thickBot="1" x14ac:dyDescent="0.6">
      <c r="A931" s="50"/>
      <c r="B931" s="51"/>
      <c r="C931" s="51"/>
      <c r="D931" s="52"/>
    </row>
    <row r="932" spans="1:4" ht="42.75" customHeight="1" thickBot="1" x14ac:dyDescent="0.6">
      <c r="A932" s="53"/>
      <c r="B932" s="53"/>
      <c r="C932" s="53"/>
      <c r="D932" s="53"/>
    </row>
    <row r="933" spans="1:4" ht="42.75" customHeight="1" thickBot="1" x14ac:dyDescent="0.6">
      <c r="A933" s="1"/>
      <c r="B933" s="2"/>
      <c r="C933" s="2"/>
      <c r="D933" s="3"/>
    </row>
    <row r="934" spans="1:4" ht="42.75" customHeight="1" thickBot="1" x14ac:dyDescent="0.6">
      <c r="A934" s="10"/>
      <c r="B934" s="11"/>
      <c r="C934" s="12"/>
      <c r="D934" s="11"/>
    </row>
    <row r="935" spans="1:4" ht="42.75" customHeight="1" thickBot="1" x14ac:dyDescent="0.6">
      <c r="A935" s="14"/>
      <c r="B935" s="15"/>
      <c r="C935" s="16"/>
      <c r="D935" s="17"/>
    </row>
    <row r="936" spans="1:4" ht="42.75" customHeight="1" thickBot="1" x14ac:dyDescent="0.6">
      <c r="A936" s="15"/>
      <c r="B936" s="15"/>
      <c r="C936" s="20"/>
      <c r="D936" s="21"/>
    </row>
    <row r="937" spans="1:4" ht="42.75" customHeight="1" thickBot="1" x14ac:dyDescent="0.6">
      <c r="A937" s="23"/>
      <c r="B937" s="24"/>
      <c r="C937" s="25"/>
      <c r="D937" s="26"/>
    </row>
    <row r="938" spans="1:4" ht="42.75" customHeight="1" thickBot="1" x14ac:dyDescent="0.6">
      <c r="A938" s="23"/>
      <c r="B938" s="24"/>
      <c r="C938" s="31"/>
      <c r="D938" s="32"/>
    </row>
    <row r="939" spans="1:4" ht="42.75" customHeight="1" thickBot="1" x14ac:dyDescent="0.7">
      <c r="A939" s="34"/>
      <c r="B939" s="35"/>
      <c r="C939" s="36"/>
      <c r="D939" s="32"/>
    </row>
    <row r="940" spans="1:4" ht="42.75" customHeight="1" thickBot="1" x14ac:dyDescent="0.6">
      <c r="A940" s="38"/>
      <c r="B940" s="39"/>
      <c r="C940" s="31"/>
      <c r="D940" s="32"/>
    </row>
    <row r="941" spans="1:4" ht="42.75" customHeight="1" thickBot="1" x14ac:dyDescent="0.6">
      <c r="A941" s="40"/>
      <c r="B941" s="41"/>
      <c r="C941" s="31"/>
      <c r="D941" s="32"/>
    </row>
    <row r="942" spans="1:4" ht="42.75" customHeight="1" thickBot="1" x14ac:dyDescent="0.6">
      <c r="A942" s="42"/>
      <c r="B942" s="43"/>
      <c r="C942" s="31"/>
      <c r="D942" s="32"/>
    </row>
    <row r="943" spans="1:4" ht="42.75" customHeight="1" thickBot="1" x14ac:dyDescent="0.6">
      <c r="A943" s="44"/>
      <c r="B943" s="45"/>
      <c r="C943" s="45"/>
      <c r="D943" s="46"/>
    </row>
    <row r="944" spans="1:4" ht="42.75" customHeight="1" thickBot="1" x14ac:dyDescent="0.6">
      <c r="A944" s="56"/>
      <c r="B944" s="57"/>
      <c r="C944" s="57"/>
      <c r="D944" s="58"/>
    </row>
    <row r="945" spans="1:4" ht="42.75" customHeight="1" thickBot="1" x14ac:dyDescent="0.6">
      <c r="A945" s="50"/>
      <c r="B945" s="51"/>
      <c r="C945" s="51"/>
      <c r="D945" s="52"/>
    </row>
    <row r="946" spans="1:4" ht="42.75" customHeight="1" thickBot="1" x14ac:dyDescent="0.6">
      <c r="A946" s="1"/>
      <c r="B946" s="2"/>
      <c r="C946" s="2"/>
      <c r="D946" s="3"/>
    </row>
    <row r="947" spans="1:4" ht="42.75" customHeight="1" thickBot="1" x14ac:dyDescent="0.6">
      <c r="A947" s="10"/>
      <c r="B947" s="11"/>
      <c r="C947" s="12"/>
      <c r="D947" s="11"/>
    </row>
    <row r="948" spans="1:4" ht="42.75" customHeight="1" thickBot="1" x14ac:dyDescent="0.6">
      <c r="A948" s="14"/>
      <c r="B948" s="15"/>
      <c r="C948" s="16"/>
      <c r="D948" s="17"/>
    </row>
    <row r="949" spans="1:4" ht="42.75" customHeight="1" thickBot="1" x14ac:dyDescent="0.6">
      <c r="A949" s="15"/>
      <c r="B949" s="15"/>
      <c r="C949" s="20"/>
      <c r="D949" s="21"/>
    </row>
    <row r="950" spans="1:4" ht="42.75" customHeight="1" thickBot="1" x14ac:dyDescent="0.6">
      <c r="A950" s="23"/>
      <c r="B950" s="24"/>
      <c r="C950" s="25"/>
      <c r="D950" s="26"/>
    </row>
    <row r="951" spans="1:4" ht="42.75" customHeight="1" thickBot="1" x14ac:dyDescent="0.6">
      <c r="A951" s="23"/>
      <c r="B951" s="24"/>
      <c r="C951" s="31"/>
      <c r="D951" s="32"/>
    </row>
    <row r="952" spans="1:4" ht="42.75" customHeight="1" thickBot="1" x14ac:dyDescent="0.7">
      <c r="A952" s="34"/>
      <c r="B952" s="35"/>
      <c r="C952" s="36"/>
      <c r="D952" s="32"/>
    </row>
    <row r="953" spans="1:4" ht="42.75" customHeight="1" thickBot="1" x14ac:dyDescent="0.6">
      <c r="A953" s="38"/>
      <c r="B953" s="39"/>
      <c r="C953" s="31"/>
      <c r="D953" s="32"/>
    </row>
    <row r="954" spans="1:4" ht="42.75" customHeight="1" thickBot="1" x14ac:dyDescent="0.6">
      <c r="A954" s="40"/>
      <c r="B954" s="41"/>
      <c r="C954" s="31"/>
      <c r="D954" s="32"/>
    </row>
    <row r="955" spans="1:4" ht="42.75" customHeight="1" thickBot="1" x14ac:dyDescent="0.6">
      <c r="A955" s="42"/>
      <c r="B955" s="43"/>
      <c r="C955" s="31"/>
      <c r="D955" s="32"/>
    </row>
    <row r="956" spans="1:4" ht="42.75" customHeight="1" thickBot="1" x14ac:dyDescent="0.6">
      <c r="A956" s="44"/>
      <c r="B956" s="45"/>
      <c r="C956" s="45"/>
      <c r="D956" s="46"/>
    </row>
    <row r="957" spans="1:4" ht="42.75" customHeight="1" thickBot="1" x14ac:dyDescent="0.6">
      <c r="A957" s="47"/>
      <c r="B957" s="48"/>
      <c r="C957" s="48"/>
      <c r="D957" s="49"/>
    </row>
    <row r="958" spans="1:4" ht="42.75" customHeight="1" thickBot="1" x14ac:dyDescent="0.6">
      <c r="A958" s="50"/>
      <c r="B958" s="51"/>
      <c r="C958" s="51"/>
      <c r="D958" s="52"/>
    </row>
    <row r="959" spans="1:4" ht="42.75" customHeight="1" thickBot="1" x14ac:dyDescent="0.6">
      <c r="A959" s="53"/>
      <c r="B959" s="53"/>
      <c r="C959" s="53"/>
      <c r="D959" s="53"/>
    </row>
    <row r="960" spans="1:4" ht="42.75" customHeight="1" thickBot="1" x14ac:dyDescent="0.6">
      <c r="A960" s="1"/>
      <c r="B960" s="2"/>
      <c r="C960" s="2"/>
      <c r="D960" s="3"/>
    </row>
    <row r="961" spans="1:4" ht="42.75" customHeight="1" thickBot="1" x14ac:dyDescent="0.6">
      <c r="A961" s="10"/>
      <c r="B961" s="11"/>
      <c r="C961" s="12"/>
      <c r="D961" s="11"/>
    </row>
    <row r="962" spans="1:4" ht="42.75" customHeight="1" thickBot="1" x14ac:dyDescent="0.6">
      <c r="A962" s="14"/>
      <c r="B962" s="15"/>
      <c r="C962" s="16"/>
      <c r="D962" s="17"/>
    </row>
    <row r="963" spans="1:4" ht="42.75" customHeight="1" thickBot="1" x14ac:dyDescent="0.6">
      <c r="A963" s="15"/>
      <c r="B963" s="15"/>
      <c r="C963" s="20"/>
      <c r="D963" s="21"/>
    </row>
    <row r="964" spans="1:4" ht="42.75" customHeight="1" thickBot="1" x14ac:dyDescent="0.6">
      <c r="A964" s="23"/>
      <c r="B964" s="24"/>
      <c r="C964" s="25"/>
      <c r="D964" s="26"/>
    </row>
    <row r="965" spans="1:4" ht="42.75" customHeight="1" thickBot="1" x14ac:dyDescent="0.6">
      <c r="A965" s="23"/>
      <c r="B965" s="24"/>
      <c r="C965" s="31"/>
      <c r="D965" s="32"/>
    </row>
    <row r="966" spans="1:4" ht="42.75" customHeight="1" thickBot="1" x14ac:dyDescent="0.7">
      <c r="A966" s="34"/>
      <c r="B966" s="35"/>
      <c r="C966" s="36"/>
      <c r="D966" s="32"/>
    </row>
    <row r="967" spans="1:4" ht="42.75" customHeight="1" thickBot="1" x14ac:dyDescent="0.6">
      <c r="A967" s="38"/>
      <c r="B967" s="39"/>
      <c r="C967" s="31"/>
      <c r="D967" s="32"/>
    </row>
    <row r="968" spans="1:4" ht="42.75" customHeight="1" thickBot="1" x14ac:dyDescent="0.6">
      <c r="A968" s="40"/>
      <c r="B968" s="41"/>
      <c r="C968" s="31"/>
      <c r="D968" s="32"/>
    </row>
    <row r="969" spans="1:4" ht="42.75" customHeight="1" thickBot="1" x14ac:dyDescent="0.6">
      <c r="A969" s="42"/>
      <c r="B969" s="43"/>
      <c r="C969" s="31"/>
      <c r="D969" s="32"/>
    </row>
    <row r="970" spans="1:4" ht="42.75" customHeight="1" thickBot="1" x14ac:dyDescent="0.6">
      <c r="A970" s="44"/>
      <c r="B970" s="45"/>
      <c r="C970" s="45"/>
      <c r="D970" s="46"/>
    </row>
    <row r="971" spans="1:4" ht="42.75" customHeight="1" thickBot="1" x14ac:dyDescent="0.6">
      <c r="A971" s="56"/>
      <c r="B971" s="57"/>
      <c r="C971" s="57"/>
      <c r="D971" s="58"/>
    </row>
    <row r="972" spans="1:4" ht="42.75" customHeight="1" thickBot="1" x14ac:dyDescent="0.6">
      <c r="A972" s="50"/>
      <c r="B972" s="51"/>
      <c r="C972" s="51"/>
      <c r="D972" s="52"/>
    </row>
    <row r="973" spans="1:4" ht="42.75" customHeight="1" thickBot="1" x14ac:dyDescent="0.6">
      <c r="A973" s="1"/>
      <c r="B973" s="2"/>
      <c r="C973" s="2"/>
      <c r="D973" s="3"/>
    </row>
    <row r="974" spans="1:4" ht="42.75" customHeight="1" thickBot="1" x14ac:dyDescent="0.6">
      <c r="A974" s="10"/>
      <c r="B974" s="11"/>
      <c r="C974" s="12"/>
      <c r="D974" s="11"/>
    </row>
    <row r="975" spans="1:4" ht="42.75" customHeight="1" thickBot="1" x14ac:dyDescent="0.6">
      <c r="A975" s="14"/>
      <c r="B975" s="15"/>
      <c r="C975" s="16"/>
      <c r="D975" s="17"/>
    </row>
    <row r="976" spans="1:4" ht="42.75" customHeight="1" thickBot="1" x14ac:dyDescent="0.6">
      <c r="A976" s="15"/>
      <c r="B976" s="15"/>
      <c r="C976" s="20"/>
      <c r="D976" s="21"/>
    </row>
    <row r="977" spans="1:4" ht="42.75" customHeight="1" thickBot="1" x14ac:dyDescent="0.6">
      <c r="A977" s="23"/>
      <c r="B977" s="24"/>
      <c r="C977" s="25"/>
      <c r="D977" s="26"/>
    </row>
    <row r="978" spans="1:4" ht="42.75" customHeight="1" thickBot="1" x14ac:dyDescent="0.6">
      <c r="A978" s="23"/>
      <c r="B978" s="24"/>
      <c r="C978" s="31"/>
      <c r="D978" s="32"/>
    </row>
    <row r="979" spans="1:4" ht="42.75" customHeight="1" thickBot="1" x14ac:dyDescent="0.7">
      <c r="A979" s="34"/>
      <c r="B979" s="35"/>
      <c r="C979" s="36"/>
      <c r="D979" s="32"/>
    </row>
    <row r="980" spans="1:4" ht="42.75" customHeight="1" thickBot="1" x14ac:dyDescent="0.6">
      <c r="A980" s="38"/>
      <c r="B980" s="39"/>
      <c r="C980" s="31"/>
      <c r="D980" s="32"/>
    </row>
    <row r="981" spans="1:4" ht="42.75" customHeight="1" thickBot="1" x14ac:dyDescent="0.6">
      <c r="A981" s="40"/>
      <c r="B981" s="41"/>
      <c r="C981" s="31"/>
      <c r="D981" s="32"/>
    </row>
    <row r="982" spans="1:4" ht="42.75" customHeight="1" thickBot="1" x14ac:dyDescent="0.6">
      <c r="A982" s="42"/>
      <c r="B982" s="43"/>
      <c r="C982" s="31"/>
      <c r="D982" s="32"/>
    </row>
    <row r="983" spans="1:4" ht="42.75" customHeight="1" thickBot="1" x14ac:dyDescent="0.6">
      <c r="A983" s="44"/>
      <c r="B983" s="45"/>
      <c r="C983" s="45"/>
      <c r="D983" s="46"/>
    </row>
    <row r="984" spans="1:4" ht="42.75" customHeight="1" thickBot="1" x14ac:dyDescent="0.6">
      <c r="A984" s="47"/>
      <c r="B984" s="48"/>
      <c r="C984" s="48"/>
      <c r="D984" s="49"/>
    </row>
    <row r="985" spans="1:4" ht="42.75" customHeight="1" thickBot="1" x14ac:dyDescent="0.6">
      <c r="A985" s="50"/>
      <c r="B985" s="51"/>
      <c r="C985" s="51"/>
      <c r="D985" s="52"/>
    </row>
    <row r="986" spans="1:4" ht="42.75" customHeight="1" thickBot="1" x14ac:dyDescent="0.6">
      <c r="A986" s="53"/>
      <c r="B986" s="53"/>
      <c r="C986" s="53"/>
      <c r="D986" s="53"/>
    </row>
    <row r="987" spans="1:4" ht="42.75" customHeight="1" thickBot="1" x14ac:dyDescent="0.6">
      <c r="A987" s="1"/>
      <c r="B987" s="2"/>
      <c r="C987" s="2"/>
      <c r="D987" s="3"/>
    </row>
    <row r="988" spans="1:4" ht="42.75" customHeight="1" thickBot="1" x14ac:dyDescent="0.6">
      <c r="A988" s="10"/>
      <c r="B988" s="11"/>
      <c r="C988" s="12"/>
      <c r="D988" s="11"/>
    </row>
    <row r="989" spans="1:4" ht="42.75" customHeight="1" thickBot="1" x14ac:dyDescent="0.6">
      <c r="A989" s="14"/>
      <c r="B989" s="15"/>
      <c r="C989" s="16"/>
      <c r="D989" s="17"/>
    </row>
    <row r="990" spans="1:4" ht="42.75" customHeight="1" thickBot="1" x14ac:dyDescent="0.6">
      <c r="A990" s="15"/>
      <c r="B990" s="15"/>
      <c r="C990" s="20"/>
      <c r="D990" s="21"/>
    </row>
    <row r="991" spans="1:4" ht="42.75" customHeight="1" thickBot="1" x14ac:dyDescent="0.6">
      <c r="A991" s="23"/>
      <c r="B991" s="24"/>
      <c r="C991" s="25"/>
      <c r="D991" s="26"/>
    </row>
    <row r="992" spans="1:4" ht="42.75" customHeight="1" thickBot="1" x14ac:dyDescent="0.6">
      <c r="A992" s="23"/>
      <c r="B992" s="24"/>
      <c r="C992" s="31"/>
      <c r="D992" s="32"/>
    </row>
    <row r="993" spans="1:4" ht="42.75" customHeight="1" thickBot="1" x14ac:dyDescent="0.7">
      <c r="A993" s="34"/>
      <c r="B993" s="35"/>
      <c r="C993" s="36"/>
      <c r="D993" s="32"/>
    </row>
    <row r="994" spans="1:4" ht="42.75" customHeight="1" thickBot="1" x14ac:dyDescent="0.6">
      <c r="A994" s="38"/>
      <c r="B994" s="39"/>
      <c r="C994" s="31"/>
      <c r="D994" s="32"/>
    </row>
    <row r="995" spans="1:4" ht="42.75" customHeight="1" thickBot="1" x14ac:dyDescent="0.6">
      <c r="A995" s="40"/>
      <c r="B995" s="41"/>
      <c r="C995" s="31"/>
      <c r="D995" s="32"/>
    </row>
    <row r="996" spans="1:4" ht="42.75" customHeight="1" thickBot="1" x14ac:dyDescent="0.6">
      <c r="A996" s="42"/>
      <c r="B996" s="43"/>
      <c r="C996" s="31"/>
      <c r="D996" s="32"/>
    </row>
    <row r="997" spans="1:4" ht="42.75" customHeight="1" thickBot="1" x14ac:dyDescent="0.6">
      <c r="A997" s="44"/>
      <c r="B997" s="45"/>
      <c r="C997" s="45"/>
      <c r="D997" s="46"/>
    </row>
    <row r="998" spans="1:4" ht="42.75" customHeight="1" thickBot="1" x14ac:dyDescent="0.6">
      <c r="A998" s="56"/>
      <c r="B998" s="57"/>
      <c r="C998" s="57"/>
      <c r="D998" s="58"/>
    </row>
    <row r="999" spans="1:4" ht="42.75" customHeight="1" thickBot="1" x14ac:dyDescent="0.6">
      <c r="A999" s="50"/>
      <c r="B999" s="51"/>
      <c r="C999" s="51"/>
      <c r="D999" s="52"/>
    </row>
    <row r="1000" spans="1:4" ht="42.75" customHeight="1" thickBot="1" x14ac:dyDescent="0.6">
      <c r="A1000" s="1"/>
      <c r="B1000" s="2"/>
      <c r="C1000" s="2"/>
      <c r="D1000" s="3"/>
    </row>
    <row r="1001" spans="1:4" ht="42.75" customHeight="1" thickBot="1" x14ac:dyDescent="0.6">
      <c r="A1001" s="10"/>
      <c r="B1001" s="11"/>
      <c r="C1001" s="12"/>
      <c r="D1001" s="11"/>
    </row>
    <row r="1002" spans="1:4" ht="42.75" customHeight="1" thickBot="1" x14ac:dyDescent="0.6">
      <c r="A1002" s="14"/>
      <c r="B1002" s="15"/>
      <c r="C1002" s="16"/>
      <c r="D1002" s="17"/>
    </row>
    <row r="1003" spans="1:4" ht="42.75" customHeight="1" thickBot="1" x14ac:dyDescent="0.6">
      <c r="A1003" s="15"/>
      <c r="B1003" s="15"/>
      <c r="C1003" s="20"/>
      <c r="D1003" s="21"/>
    </row>
    <row r="1004" spans="1:4" ht="42.75" customHeight="1" thickBot="1" x14ac:dyDescent="0.6">
      <c r="A1004" s="23"/>
      <c r="B1004" s="24"/>
      <c r="C1004" s="25"/>
      <c r="D1004" s="26"/>
    </row>
    <row r="1005" spans="1:4" ht="42.75" customHeight="1" thickBot="1" x14ac:dyDescent="0.6">
      <c r="A1005" s="23"/>
      <c r="B1005" s="24"/>
      <c r="C1005" s="31"/>
      <c r="D1005" s="32"/>
    </row>
    <row r="1006" spans="1:4" ht="42.75" customHeight="1" thickBot="1" x14ac:dyDescent="0.7">
      <c r="A1006" s="34"/>
      <c r="B1006" s="35"/>
      <c r="C1006" s="36"/>
      <c r="D1006" s="32"/>
    </row>
    <row r="1007" spans="1:4" ht="42.75" customHeight="1" thickBot="1" x14ac:dyDescent="0.6">
      <c r="A1007" s="38"/>
      <c r="B1007" s="39"/>
      <c r="C1007" s="31"/>
      <c r="D1007" s="32"/>
    </row>
    <row r="1008" spans="1:4" ht="42.75" customHeight="1" thickBot="1" x14ac:dyDescent="0.6">
      <c r="A1008" s="40"/>
      <c r="B1008" s="41"/>
      <c r="C1008" s="31"/>
      <c r="D1008" s="32"/>
    </row>
    <row r="1009" spans="1:4" ht="42.75" customHeight="1" thickBot="1" x14ac:dyDescent="0.6">
      <c r="A1009" s="42"/>
      <c r="B1009" s="43"/>
      <c r="C1009" s="31"/>
      <c r="D1009" s="32"/>
    </row>
    <row r="1010" spans="1:4" ht="42.75" customHeight="1" thickBot="1" x14ac:dyDescent="0.6">
      <c r="A1010" s="44"/>
      <c r="B1010" s="45"/>
      <c r="C1010" s="45"/>
      <c r="D1010" s="46"/>
    </row>
    <row r="1011" spans="1:4" ht="42.75" customHeight="1" thickBot="1" x14ac:dyDescent="0.6">
      <c r="A1011" s="47"/>
      <c r="B1011" s="48"/>
      <c r="C1011" s="48"/>
      <c r="D1011" s="49"/>
    </row>
    <row r="1012" spans="1:4" ht="42.75" customHeight="1" thickBot="1" x14ac:dyDescent="0.6">
      <c r="A1012" s="50"/>
      <c r="B1012" s="51"/>
      <c r="C1012" s="51"/>
      <c r="D1012" s="52"/>
    </row>
    <row r="1013" spans="1:4" ht="42.75" customHeight="1" thickBot="1" x14ac:dyDescent="0.6">
      <c r="A1013" s="53"/>
      <c r="B1013" s="53"/>
      <c r="C1013" s="53"/>
      <c r="D1013" s="53"/>
    </row>
    <row r="1014" spans="1:4" ht="42.75" customHeight="1" thickBot="1" x14ac:dyDescent="0.6">
      <c r="A1014" s="1"/>
      <c r="B1014" s="2"/>
      <c r="C1014" s="2"/>
      <c r="D1014" s="3"/>
    </row>
    <row r="1015" spans="1:4" ht="42.75" customHeight="1" thickBot="1" x14ac:dyDescent="0.6">
      <c r="A1015" s="10"/>
      <c r="B1015" s="11"/>
      <c r="C1015" s="12"/>
      <c r="D1015" s="11"/>
    </row>
    <row r="1016" spans="1:4" ht="42.75" customHeight="1" thickBot="1" x14ac:dyDescent="0.6">
      <c r="A1016" s="14"/>
      <c r="B1016" s="15"/>
      <c r="C1016" s="16"/>
      <c r="D1016" s="17"/>
    </row>
    <row r="1017" spans="1:4" ht="42.75" customHeight="1" thickBot="1" x14ac:dyDescent="0.6">
      <c r="A1017" s="15"/>
      <c r="B1017" s="15"/>
      <c r="C1017" s="20"/>
      <c r="D1017" s="21"/>
    </row>
    <row r="1018" spans="1:4" ht="42.75" customHeight="1" thickBot="1" x14ac:dyDescent="0.6">
      <c r="A1018" s="23"/>
      <c r="B1018" s="24"/>
      <c r="C1018" s="25"/>
      <c r="D1018" s="26"/>
    </row>
    <row r="1019" spans="1:4" ht="42.75" customHeight="1" thickBot="1" x14ac:dyDescent="0.6">
      <c r="A1019" s="23"/>
      <c r="B1019" s="24"/>
      <c r="C1019" s="31"/>
      <c r="D1019" s="32"/>
    </row>
    <row r="1020" spans="1:4" ht="42.75" customHeight="1" thickBot="1" x14ac:dyDescent="0.7">
      <c r="A1020" s="34"/>
      <c r="B1020" s="35"/>
      <c r="C1020" s="36"/>
      <c r="D1020" s="32"/>
    </row>
    <row r="1021" spans="1:4" ht="42.75" customHeight="1" thickBot="1" x14ac:dyDescent="0.6">
      <c r="A1021" s="38"/>
      <c r="B1021" s="39"/>
      <c r="C1021" s="31"/>
      <c r="D1021" s="32"/>
    </row>
    <row r="1022" spans="1:4" ht="42.75" customHeight="1" thickBot="1" x14ac:dyDescent="0.6">
      <c r="A1022" s="40"/>
      <c r="B1022" s="41"/>
      <c r="C1022" s="31"/>
      <c r="D1022" s="32"/>
    </row>
    <row r="1023" spans="1:4" ht="42.75" customHeight="1" thickBot="1" x14ac:dyDescent="0.6">
      <c r="A1023" s="42"/>
      <c r="B1023" s="43"/>
      <c r="C1023" s="31"/>
      <c r="D1023" s="32"/>
    </row>
    <row r="1024" spans="1:4" ht="42.75" customHeight="1" thickBot="1" x14ac:dyDescent="0.6">
      <c r="A1024" s="44"/>
      <c r="B1024" s="45"/>
      <c r="C1024" s="45"/>
      <c r="D1024" s="46"/>
    </row>
    <row r="1025" spans="1:4" ht="42.75" customHeight="1" thickBot="1" x14ac:dyDescent="0.6">
      <c r="A1025" s="56"/>
      <c r="B1025" s="57"/>
      <c r="C1025" s="57"/>
      <c r="D1025" s="58"/>
    </row>
    <row r="1026" spans="1:4" ht="42.75" customHeight="1" thickBot="1" x14ac:dyDescent="0.6">
      <c r="A1026" s="50"/>
      <c r="B1026" s="51"/>
      <c r="C1026" s="51"/>
      <c r="D1026" s="52"/>
    </row>
    <row r="1027" spans="1:4" ht="42.75" customHeight="1" thickBot="1" x14ac:dyDescent="0.6">
      <c r="A1027" s="1"/>
      <c r="B1027" s="2"/>
      <c r="C1027" s="2"/>
      <c r="D1027" s="3"/>
    </row>
    <row r="1028" spans="1:4" ht="42.75" customHeight="1" thickBot="1" x14ac:dyDescent="0.6">
      <c r="A1028" s="10"/>
      <c r="B1028" s="11"/>
      <c r="C1028" s="12"/>
      <c r="D1028" s="11"/>
    </row>
    <row r="1029" spans="1:4" ht="42.75" customHeight="1" thickBot="1" x14ac:dyDescent="0.6">
      <c r="A1029" s="14"/>
      <c r="B1029" s="15"/>
      <c r="C1029" s="16"/>
      <c r="D1029" s="17"/>
    </row>
    <row r="1030" spans="1:4" ht="42.75" customHeight="1" thickBot="1" x14ac:dyDescent="0.6">
      <c r="A1030" s="15"/>
      <c r="B1030" s="15"/>
      <c r="C1030" s="20"/>
      <c r="D1030" s="21"/>
    </row>
    <row r="1031" spans="1:4" ht="42.75" customHeight="1" thickBot="1" x14ac:dyDescent="0.6">
      <c r="A1031" s="23"/>
      <c r="B1031" s="24"/>
      <c r="C1031" s="25"/>
      <c r="D1031" s="26"/>
    </row>
    <row r="1032" spans="1:4" ht="42.75" customHeight="1" thickBot="1" x14ac:dyDescent="0.6">
      <c r="A1032" s="23"/>
      <c r="B1032" s="24"/>
      <c r="C1032" s="31"/>
      <c r="D1032" s="32"/>
    </row>
    <row r="1033" spans="1:4" ht="42.75" customHeight="1" thickBot="1" x14ac:dyDescent="0.7">
      <c r="A1033" s="34"/>
      <c r="B1033" s="35"/>
      <c r="C1033" s="36"/>
      <c r="D1033" s="32"/>
    </row>
    <row r="1034" spans="1:4" ht="42.75" customHeight="1" thickBot="1" x14ac:dyDescent="0.6">
      <c r="A1034" s="38"/>
      <c r="B1034" s="39"/>
      <c r="C1034" s="31"/>
      <c r="D1034" s="32"/>
    </row>
    <row r="1035" spans="1:4" ht="42.75" customHeight="1" thickBot="1" x14ac:dyDescent="0.6">
      <c r="A1035" s="40"/>
      <c r="B1035" s="41"/>
      <c r="C1035" s="31"/>
      <c r="D1035" s="32"/>
    </row>
    <row r="1036" spans="1:4" ht="42.75" customHeight="1" thickBot="1" x14ac:dyDescent="0.6">
      <c r="A1036" s="42"/>
      <c r="B1036" s="43"/>
      <c r="C1036" s="31"/>
      <c r="D1036" s="32"/>
    </row>
    <row r="1037" spans="1:4" ht="42.75" customHeight="1" thickBot="1" x14ac:dyDescent="0.6">
      <c r="A1037" s="44"/>
      <c r="B1037" s="45"/>
      <c r="C1037" s="45"/>
      <c r="D1037" s="46"/>
    </row>
    <row r="1038" spans="1:4" ht="42.75" customHeight="1" thickBot="1" x14ac:dyDescent="0.6">
      <c r="A1038" s="47"/>
      <c r="B1038" s="48"/>
      <c r="C1038" s="48"/>
      <c r="D1038" s="49"/>
    </row>
    <row r="1039" spans="1:4" ht="42.75" customHeight="1" thickBot="1" x14ac:dyDescent="0.6">
      <c r="A1039" s="50"/>
      <c r="B1039" s="51"/>
      <c r="C1039" s="51"/>
      <c r="D1039" s="52"/>
    </row>
    <row r="1040" spans="1:4" ht="42.75" customHeight="1" thickBot="1" x14ac:dyDescent="0.6">
      <c r="A1040" s="53"/>
      <c r="B1040" s="53"/>
      <c r="C1040" s="53"/>
      <c r="D1040" s="53"/>
    </row>
    <row r="1041" spans="1:4" ht="42.75" customHeight="1" thickBot="1" x14ac:dyDescent="0.6">
      <c r="A1041" s="1"/>
      <c r="B1041" s="2"/>
      <c r="C1041" s="2"/>
      <c r="D1041" s="3"/>
    </row>
    <row r="1042" spans="1:4" ht="42.75" customHeight="1" thickBot="1" x14ac:dyDescent="0.6">
      <c r="A1042" s="10"/>
      <c r="B1042" s="11"/>
      <c r="C1042" s="12"/>
      <c r="D1042" s="11"/>
    </row>
    <row r="1043" spans="1:4" ht="42.75" customHeight="1" thickBot="1" x14ac:dyDescent="0.6">
      <c r="A1043" s="14"/>
      <c r="B1043" s="15"/>
      <c r="C1043" s="16"/>
      <c r="D1043" s="17"/>
    </row>
    <row r="1044" spans="1:4" ht="42.75" customHeight="1" thickBot="1" x14ac:dyDescent="0.6">
      <c r="A1044" s="15"/>
      <c r="B1044" s="15"/>
      <c r="C1044" s="20"/>
      <c r="D1044" s="21"/>
    </row>
    <row r="1045" spans="1:4" ht="42.75" customHeight="1" thickBot="1" x14ac:dyDescent="0.6">
      <c r="A1045" s="23"/>
      <c r="B1045" s="24"/>
      <c r="C1045" s="25"/>
      <c r="D1045" s="26"/>
    </row>
    <row r="1046" spans="1:4" ht="42.75" customHeight="1" thickBot="1" x14ac:dyDescent="0.6">
      <c r="A1046" s="23"/>
      <c r="B1046" s="24"/>
      <c r="C1046" s="31"/>
      <c r="D1046" s="32"/>
    </row>
    <row r="1047" spans="1:4" ht="42.75" customHeight="1" thickBot="1" x14ac:dyDescent="0.7">
      <c r="A1047" s="34"/>
      <c r="B1047" s="35"/>
      <c r="C1047" s="36"/>
      <c r="D1047" s="32"/>
    </row>
    <row r="1048" spans="1:4" ht="42.75" customHeight="1" thickBot="1" x14ac:dyDescent="0.6">
      <c r="A1048" s="38"/>
      <c r="B1048" s="39"/>
      <c r="C1048" s="31"/>
      <c r="D1048" s="32"/>
    </row>
    <row r="1049" spans="1:4" ht="42.75" customHeight="1" thickBot="1" x14ac:dyDescent="0.6">
      <c r="A1049" s="40"/>
      <c r="B1049" s="41"/>
      <c r="C1049" s="31"/>
      <c r="D1049" s="32"/>
    </row>
    <row r="1050" spans="1:4" ht="42.75" customHeight="1" thickBot="1" x14ac:dyDescent="0.6">
      <c r="A1050" s="42"/>
      <c r="B1050" s="43"/>
      <c r="C1050" s="31"/>
      <c r="D1050" s="32"/>
    </row>
    <row r="1051" spans="1:4" ht="42.75" customHeight="1" thickBot="1" x14ac:dyDescent="0.6">
      <c r="A1051" s="44"/>
      <c r="B1051" s="45"/>
      <c r="C1051" s="45"/>
      <c r="D1051" s="46"/>
    </row>
    <row r="1052" spans="1:4" ht="42.75" customHeight="1" thickBot="1" x14ac:dyDescent="0.6">
      <c r="A1052" s="56"/>
      <c r="B1052" s="57"/>
      <c r="C1052" s="57"/>
      <c r="D1052" s="58"/>
    </row>
    <row r="1053" spans="1:4" ht="42.75" customHeight="1" thickBot="1" x14ac:dyDescent="0.6">
      <c r="A1053" s="50"/>
      <c r="B1053" s="51"/>
      <c r="C1053" s="51"/>
      <c r="D1053" s="52"/>
    </row>
    <row r="1054" spans="1:4" ht="42.75" customHeight="1" thickBot="1" x14ac:dyDescent="0.6">
      <c r="A1054" s="1"/>
      <c r="B1054" s="2"/>
      <c r="C1054" s="2"/>
      <c r="D1054" s="3"/>
    </row>
    <row r="1055" spans="1:4" ht="42.75" customHeight="1" thickBot="1" x14ac:dyDescent="0.6">
      <c r="A1055" s="10"/>
      <c r="B1055" s="11"/>
      <c r="C1055" s="12"/>
      <c r="D1055" s="11"/>
    </row>
    <row r="1056" spans="1:4" ht="42.75" customHeight="1" thickBot="1" x14ac:dyDescent="0.6">
      <c r="A1056" s="14"/>
      <c r="B1056" s="15"/>
      <c r="C1056" s="16"/>
      <c r="D1056" s="17"/>
    </row>
    <row r="1057" spans="1:4" ht="42.75" customHeight="1" thickBot="1" x14ac:dyDescent="0.6">
      <c r="A1057" s="15"/>
      <c r="B1057" s="15"/>
      <c r="C1057" s="20"/>
      <c r="D1057" s="21"/>
    </row>
    <row r="1058" spans="1:4" ht="42.75" customHeight="1" thickBot="1" x14ac:dyDescent="0.6">
      <c r="A1058" s="23"/>
      <c r="B1058" s="24"/>
      <c r="C1058" s="25"/>
      <c r="D1058" s="26"/>
    </row>
    <row r="1059" spans="1:4" ht="42.75" customHeight="1" thickBot="1" x14ac:dyDescent="0.6">
      <c r="A1059" s="23"/>
      <c r="B1059" s="24"/>
      <c r="C1059" s="31"/>
      <c r="D1059" s="32"/>
    </row>
    <row r="1060" spans="1:4" ht="42.75" customHeight="1" thickBot="1" x14ac:dyDescent="0.7">
      <c r="A1060" s="34"/>
      <c r="B1060" s="35"/>
      <c r="C1060" s="36"/>
      <c r="D1060" s="32"/>
    </row>
    <row r="1061" spans="1:4" ht="42.75" customHeight="1" thickBot="1" x14ac:dyDescent="0.6">
      <c r="A1061" s="38"/>
      <c r="B1061" s="39"/>
      <c r="C1061" s="31"/>
      <c r="D1061" s="32"/>
    </row>
    <row r="1062" spans="1:4" ht="42.75" customHeight="1" thickBot="1" x14ac:dyDescent="0.6">
      <c r="A1062" s="40"/>
      <c r="B1062" s="41"/>
      <c r="C1062" s="31"/>
      <c r="D1062" s="32"/>
    </row>
    <row r="1063" spans="1:4" ht="42.75" customHeight="1" thickBot="1" x14ac:dyDescent="0.6">
      <c r="A1063" s="42"/>
      <c r="B1063" s="43"/>
      <c r="C1063" s="31"/>
      <c r="D1063" s="32"/>
    </row>
    <row r="1064" spans="1:4" ht="42.75" customHeight="1" thickBot="1" x14ac:dyDescent="0.6">
      <c r="A1064" s="44"/>
      <c r="B1064" s="45"/>
      <c r="C1064" s="45"/>
      <c r="D1064" s="46"/>
    </row>
    <row r="1065" spans="1:4" ht="42.75" customHeight="1" thickBot="1" x14ac:dyDescent="0.6">
      <c r="A1065" s="47"/>
      <c r="B1065" s="48"/>
      <c r="C1065" s="48"/>
      <c r="D1065" s="49"/>
    </row>
    <row r="1066" spans="1:4" ht="42.75" customHeight="1" thickBot="1" x14ac:dyDescent="0.6">
      <c r="A1066" s="50"/>
      <c r="B1066" s="51"/>
      <c r="C1066" s="51"/>
      <c r="D1066" s="52"/>
    </row>
    <row r="1067" spans="1:4" ht="42.75" customHeight="1" thickBot="1" x14ac:dyDescent="0.6">
      <c r="A1067" s="53"/>
      <c r="B1067" s="53"/>
      <c r="C1067" s="53"/>
      <c r="D1067" s="53"/>
    </row>
    <row r="1068" spans="1:4" ht="42.75" customHeight="1" thickBot="1" x14ac:dyDescent="0.6">
      <c r="A1068" s="1"/>
      <c r="B1068" s="2"/>
      <c r="C1068" s="2"/>
      <c r="D1068" s="3"/>
    </row>
    <row r="1069" spans="1:4" ht="42.75" customHeight="1" thickBot="1" x14ac:dyDescent="0.6">
      <c r="A1069" s="10"/>
      <c r="B1069" s="11"/>
      <c r="C1069" s="12"/>
      <c r="D1069" s="11"/>
    </row>
    <row r="1070" spans="1:4" ht="42.75" customHeight="1" thickBot="1" x14ac:dyDescent="0.6">
      <c r="A1070" s="14"/>
      <c r="B1070" s="15"/>
      <c r="C1070" s="16"/>
      <c r="D1070" s="17"/>
    </row>
    <row r="1071" spans="1:4" ht="42.75" customHeight="1" thickBot="1" x14ac:dyDescent="0.6">
      <c r="A1071" s="15"/>
      <c r="B1071" s="15"/>
      <c r="C1071" s="20"/>
      <c r="D1071" s="21"/>
    </row>
    <row r="1072" spans="1:4" ht="42.75" customHeight="1" thickBot="1" x14ac:dyDescent="0.6">
      <c r="A1072" s="23"/>
      <c r="B1072" s="24"/>
      <c r="C1072" s="25"/>
      <c r="D1072" s="26"/>
    </row>
    <row r="1073" spans="1:4" ht="42.75" customHeight="1" thickBot="1" x14ac:dyDescent="0.6">
      <c r="A1073" s="23"/>
      <c r="B1073" s="24"/>
      <c r="C1073" s="31"/>
      <c r="D1073" s="32"/>
    </row>
    <row r="1074" spans="1:4" ht="42.75" customHeight="1" thickBot="1" x14ac:dyDescent="0.7">
      <c r="A1074" s="34"/>
      <c r="B1074" s="35"/>
      <c r="C1074" s="36"/>
      <c r="D1074" s="32"/>
    </row>
    <row r="1075" spans="1:4" ht="42.75" customHeight="1" thickBot="1" x14ac:dyDescent="0.6">
      <c r="A1075" s="38"/>
      <c r="B1075" s="39"/>
      <c r="C1075" s="31"/>
      <c r="D1075" s="32"/>
    </row>
    <row r="1076" spans="1:4" ht="42.75" customHeight="1" thickBot="1" x14ac:dyDescent="0.6">
      <c r="A1076" s="40"/>
      <c r="B1076" s="41"/>
      <c r="C1076" s="31"/>
      <c r="D1076" s="32"/>
    </row>
    <row r="1077" spans="1:4" ht="42.75" customHeight="1" thickBot="1" x14ac:dyDescent="0.6">
      <c r="A1077" s="42"/>
      <c r="B1077" s="43"/>
      <c r="C1077" s="31"/>
      <c r="D1077" s="32"/>
    </row>
    <row r="1078" spans="1:4" ht="42.75" customHeight="1" thickBot="1" x14ac:dyDescent="0.6">
      <c r="A1078" s="44"/>
      <c r="B1078" s="45"/>
      <c r="C1078" s="45"/>
      <c r="D1078" s="46"/>
    </row>
    <row r="1079" spans="1:4" ht="42.75" customHeight="1" thickBot="1" x14ac:dyDescent="0.6">
      <c r="A1079" s="56"/>
      <c r="B1079" s="57"/>
      <c r="C1079" s="57"/>
      <c r="D1079" s="58"/>
    </row>
    <row r="1080" spans="1:4" ht="42.75" customHeight="1" thickBot="1" x14ac:dyDescent="0.6">
      <c r="A1080" s="50"/>
      <c r="B1080" s="51"/>
      <c r="C1080" s="51"/>
      <c r="D1080" s="52"/>
    </row>
    <row r="1081" spans="1:4" ht="42.75" customHeight="1" thickBot="1" x14ac:dyDescent="0.6">
      <c r="A1081" s="1"/>
      <c r="B1081" s="2"/>
      <c r="C1081" s="2"/>
      <c r="D1081" s="3"/>
    </row>
    <row r="1082" spans="1:4" ht="42.75" customHeight="1" thickBot="1" x14ac:dyDescent="0.6">
      <c r="A1082" s="10"/>
      <c r="B1082" s="11"/>
      <c r="C1082" s="12"/>
      <c r="D1082" s="11"/>
    </row>
    <row r="1083" spans="1:4" ht="42.75" customHeight="1" thickBot="1" x14ac:dyDescent="0.6">
      <c r="A1083" s="14"/>
      <c r="B1083" s="15"/>
      <c r="C1083" s="16"/>
      <c r="D1083" s="17"/>
    </row>
    <row r="1084" spans="1:4" ht="42.75" customHeight="1" thickBot="1" x14ac:dyDescent="0.6">
      <c r="A1084" s="15"/>
      <c r="B1084" s="15"/>
      <c r="C1084" s="20"/>
      <c r="D1084" s="21"/>
    </row>
    <row r="1085" spans="1:4" ht="42.75" customHeight="1" thickBot="1" x14ac:dyDescent="0.6">
      <c r="A1085" s="23"/>
      <c r="B1085" s="24"/>
      <c r="C1085" s="25"/>
      <c r="D1085" s="26"/>
    </row>
    <row r="1086" spans="1:4" ht="42.75" customHeight="1" thickBot="1" x14ac:dyDescent="0.6">
      <c r="A1086" s="23"/>
      <c r="B1086" s="24"/>
      <c r="C1086" s="31"/>
      <c r="D1086" s="32"/>
    </row>
    <row r="1087" spans="1:4" ht="42.75" customHeight="1" thickBot="1" x14ac:dyDescent="0.7">
      <c r="A1087" s="34"/>
      <c r="B1087" s="35"/>
      <c r="C1087" s="36"/>
      <c r="D1087" s="32"/>
    </row>
    <row r="1088" spans="1:4" ht="42.75" customHeight="1" thickBot="1" x14ac:dyDescent="0.6">
      <c r="A1088" s="38"/>
      <c r="B1088" s="39"/>
      <c r="C1088" s="31"/>
      <c r="D1088" s="32"/>
    </row>
    <row r="1089" spans="1:4" ht="42.75" customHeight="1" thickBot="1" x14ac:dyDescent="0.6">
      <c r="A1089" s="40"/>
      <c r="B1089" s="41"/>
      <c r="C1089" s="31"/>
      <c r="D1089" s="32"/>
    </row>
    <row r="1090" spans="1:4" ht="42.75" customHeight="1" thickBot="1" x14ac:dyDescent="0.6">
      <c r="A1090" s="42"/>
      <c r="B1090" s="43"/>
      <c r="C1090" s="31"/>
      <c r="D1090" s="32"/>
    </row>
    <row r="1091" spans="1:4" ht="42.75" customHeight="1" thickBot="1" x14ac:dyDescent="0.6">
      <c r="A1091" s="44"/>
      <c r="B1091" s="45"/>
      <c r="C1091" s="45"/>
      <c r="D1091" s="46"/>
    </row>
    <row r="1092" spans="1:4" ht="42.75" customHeight="1" thickBot="1" x14ac:dyDescent="0.6">
      <c r="A1092" s="47"/>
      <c r="B1092" s="48"/>
      <c r="C1092" s="48"/>
      <c r="D1092" s="49"/>
    </row>
    <row r="1093" spans="1:4" ht="42.75" customHeight="1" thickBot="1" x14ac:dyDescent="0.6">
      <c r="A1093" s="50"/>
      <c r="B1093" s="51"/>
      <c r="C1093" s="51"/>
      <c r="D1093" s="52"/>
    </row>
    <row r="1094" spans="1:4" ht="42.75" customHeight="1" thickBot="1" x14ac:dyDescent="0.6">
      <c r="A1094" s="53"/>
      <c r="B1094" s="53"/>
      <c r="C1094" s="53"/>
      <c r="D1094" s="53"/>
    </row>
    <row r="1095" spans="1:4" ht="42.75" customHeight="1" thickBot="1" x14ac:dyDescent="0.6">
      <c r="A1095" s="1"/>
      <c r="B1095" s="2"/>
      <c r="C1095" s="2"/>
      <c r="D1095" s="3"/>
    </row>
    <row r="1096" spans="1:4" ht="42.75" customHeight="1" thickBot="1" x14ac:dyDescent="0.6">
      <c r="A1096" s="10"/>
      <c r="B1096" s="11"/>
      <c r="C1096" s="12"/>
      <c r="D1096" s="11"/>
    </row>
    <row r="1097" spans="1:4" ht="42.75" customHeight="1" thickBot="1" x14ac:dyDescent="0.6">
      <c r="A1097" s="14"/>
      <c r="B1097" s="15"/>
      <c r="C1097" s="16"/>
      <c r="D1097" s="17"/>
    </row>
    <row r="1098" spans="1:4" ht="42.75" customHeight="1" thickBot="1" x14ac:dyDescent="0.6">
      <c r="A1098" s="15"/>
      <c r="B1098" s="15"/>
      <c r="C1098" s="20"/>
      <c r="D1098" s="21"/>
    </row>
    <row r="1099" spans="1:4" ht="42.75" customHeight="1" thickBot="1" x14ac:dyDescent="0.6">
      <c r="A1099" s="23"/>
      <c r="B1099" s="24"/>
      <c r="C1099" s="25"/>
      <c r="D1099" s="26"/>
    </row>
    <row r="1100" spans="1:4" ht="42.75" customHeight="1" thickBot="1" x14ac:dyDescent="0.6">
      <c r="A1100" s="23"/>
      <c r="B1100" s="24"/>
      <c r="C1100" s="31"/>
      <c r="D1100" s="32"/>
    </row>
    <row r="1101" spans="1:4" ht="42.75" customHeight="1" thickBot="1" x14ac:dyDescent="0.7">
      <c r="A1101" s="34"/>
      <c r="B1101" s="35"/>
      <c r="C1101" s="36"/>
      <c r="D1101" s="32"/>
    </row>
    <row r="1102" spans="1:4" ht="42.75" customHeight="1" thickBot="1" x14ac:dyDescent="0.6">
      <c r="A1102" s="38"/>
      <c r="B1102" s="39"/>
      <c r="C1102" s="31"/>
      <c r="D1102" s="32"/>
    </row>
    <row r="1103" spans="1:4" ht="42.75" customHeight="1" thickBot="1" x14ac:dyDescent="0.6">
      <c r="A1103" s="40"/>
      <c r="B1103" s="41"/>
      <c r="C1103" s="31"/>
      <c r="D1103" s="32"/>
    </row>
    <row r="1104" spans="1:4" ht="42.75" customHeight="1" thickBot="1" x14ac:dyDescent="0.6">
      <c r="A1104" s="42"/>
      <c r="B1104" s="43"/>
      <c r="C1104" s="31"/>
      <c r="D1104" s="32"/>
    </row>
    <row r="1105" spans="1:4" ht="42.75" customHeight="1" thickBot="1" x14ac:dyDescent="0.6">
      <c r="A1105" s="44"/>
      <c r="B1105" s="45"/>
      <c r="C1105" s="45"/>
      <c r="D1105" s="46"/>
    </row>
    <row r="1106" spans="1:4" ht="42.75" customHeight="1" thickBot="1" x14ac:dyDescent="0.6">
      <c r="A1106" s="56"/>
      <c r="B1106" s="57"/>
      <c r="C1106" s="57"/>
      <c r="D1106" s="58"/>
    </row>
    <row r="1107" spans="1:4" ht="42.75" customHeight="1" thickBot="1" x14ac:dyDescent="0.6">
      <c r="A1107" s="50"/>
      <c r="B1107" s="51"/>
      <c r="C1107" s="51"/>
      <c r="D1107" s="52"/>
    </row>
    <row r="1108" spans="1:4" ht="42.75" customHeight="1" thickBot="1" x14ac:dyDescent="0.6">
      <c r="A1108" s="1"/>
      <c r="B1108" s="2"/>
      <c r="C1108" s="2"/>
      <c r="D1108" s="3"/>
    </row>
    <row r="1109" spans="1:4" ht="42.75" customHeight="1" thickBot="1" x14ac:dyDescent="0.6">
      <c r="A1109" s="10"/>
      <c r="B1109" s="11"/>
      <c r="C1109" s="12"/>
      <c r="D1109" s="11"/>
    </row>
    <row r="1110" spans="1:4" ht="42.75" customHeight="1" thickBot="1" x14ac:dyDescent="0.6">
      <c r="A1110" s="14"/>
      <c r="B1110" s="15"/>
      <c r="C1110" s="16"/>
      <c r="D1110" s="17"/>
    </row>
    <row r="1111" spans="1:4" ht="42.75" customHeight="1" thickBot="1" x14ac:dyDescent="0.6">
      <c r="A1111" s="15"/>
      <c r="B1111" s="15"/>
      <c r="C1111" s="20"/>
      <c r="D1111" s="21"/>
    </row>
    <row r="1112" spans="1:4" ht="42.75" customHeight="1" thickBot="1" x14ac:dyDescent="0.6">
      <c r="A1112" s="23"/>
      <c r="B1112" s="24"/>
      <c r="C1112" s="25"/>
      <c r="D1112" s="26"/>
    </row>
    <row r="1113" spans="1:4" ht="42.75" customHeight="1" thickBot="1" x14ac:dyDescent="0.6">
      <c r="A1113" s="23"/>
      <c r="B1113" s="24"/>
      <c r="C1113" s="31"/>
      <c r="D1113" s="32"/>
    </row>
    <row r="1114" spans="1:4" ht="42.75" customHeight="1" thickBot="1" x14ac:dyDescent="0.7">
      <c r="A1114" s="34"/>
      <c r="B1114" s="35"/>
      <c r="C1114" s="36"/>
      <c r="D1114" s="32"/>
    </row>
    <row r="1115" spans="1:4" ht="42.75" customHeight="1" thickBot="1" x14ac:dyDescent="0.6">
      <c r="A1115" s="38"/>
      <c r="B1115" s="39"/>
      <c r="C1115" s="31"/>
      <c r="D1115" s="32"/>
    </row>
    <row r="1116" spans="1:4" ht="42.75" customHeight="1" thickBot="1" x14ac:dyDescent="0.6">
      <c r="A1116" s="40"/>
      <c r="B1116" s="41"/>
      <c r="C1116" s="31"/>
      <c r="D1116" s="32"/>
    </row>
    <row r="1117" spans="1:4" ht="42.75" customHeight="1" thickBot="1" x14ac:dyDescent="0.6">
      <c r="A1117" s="42"/>
      <c r="B1117" s="43"/>
      <c r="C1117" s="31"/>
      <c r="D1117" s="32"/>
    </row>
    <row r="1118" spans="1:4" ht="42.75" customHeight="1" thickBot="1" x14ac:dyDescent="0.6">
      <c r="A1118" s="44"/>
      <c r="B1118" s="45"/>
      <c r="C1118" s="45"/>
      <c r="D1118" s="46"/>
    </row>
    <row r="1119" spans="1:4" ht="42.75" customHeight="1" thickBot="1" x14ac:dyDescent="0.6">
      <c r="A1119" s="47"/>
      <c r="B1119" s="48"/>
      <c r="C1119" s="48"/>
      <c r="D1119" s="49"/>
    </row>
    <row r="1120" spans="1:4" ht="42.75" customHeight="1" thickBot="1" x14ac:dyDescent="0.6">
      <c r="A1120" s="50"/>
      <c r="B1120" s="51"/>
      <c r="C1120" s="51"/>
      <c r="D1120" s="52"/>
    </row>
    <row r="1121" spans="1:4" ht="42.75" customHeight="1" thickBot="1" x14ac:dyDescent="0.6">
      <c r="A1121" s="53"/>
      <c r="B1121" s="53"/>
      <c r="C1121" s="53"/>
      <c r="D1121" s="53"/>
    </row>
    <row r="1122" spans="1:4" ht="42.75" customHeight="1" thickBot="1" x14ac:dyDescent="0.6">
      <c r="A1122" s="1"/>
      <c r="B1122" s="2"/>
      <c r="C1122" s="2"/>
      <c r="D1122" s="3"/>
    </row>
    <row r="1123" spans="1:4" ht="42.75" customHeight="1" thickBot="1" x14ac:dyDescent="0.6">
      <c r="A1123" s="10"/>
      <c r="B1123" s="11"/>
      <c r="C1123" s="12"/>
      <c r="D1123" s="11"/>
    </row>
    <row r="1124" spans="1:4" ht="42.75" customHeight="1" thickBot="1" x14ac:dyDescent="0.6">
      <c r="A1124" s="14"/>
      <c r="B1124" s="15"/>
      <c r="C1124" s="16"/>
      <c r="D1124" s="17"/>
    </row>
    <row r="1125" spans="1:4" ht="42.75" customHeight="1" thickBot="1" x14ac:dyDescent="0.6">
      <c r="A1125" s="15"/>
      <c r="B1125" s="15"/>
      <c r="C1125" s="20"/>
      <c r="D1125" s="21"/>
    </row>
    <row r="1126" spans="1:4" ht="42.75" customHeight="1" thickBot="1" x14ac:dyDescent="0.6">
      <c r="A1126" s="23"/>
      <c r="B1126" s="24"/>
      <c r="C1126" s="25"/>
      <c r="D1126" s="26"/>
    </row>
    <row r="1127" spans="1:4" ht="42.75" customHeight="1" thickBot="1" x14ac:dyDescent="0.6">
      <c r="A1127" s="23"/>
      <c r="B1127" s="24"/>
      <c r="C1127" s="31"/>
      <c r="D1127" s="32"/>
    </row>
    <row r="1128" spans="1:4" ht="42.75" customHeight="1" thickBot="1" x14ac:dyDescent="0.7">
      <c r="A1128" s="34"/>
      <c r="B1128" s="35"/>
      <c r="C1128" s="36"/>
      <c r="D1128" s="32"/>
    </row>
    <row r="1129" spans="1:4" ht="42.75" customHeight="1" thickBot="1" x14ac:dyDescent="0.6">
      <c r="A1129" s="38"/>
      <c r="B1129" s="39"/>
      <c r="C1129" s="31"/>
      <c r="D1129" s="32"/>
    </row>
    <row r="1130" spans="1:4" ht="42.75" customHeight="1" thickBot="1" x14ac:dyDescent="0.6">
      <c r="A1130" s="40"/>
      <c r="B1130" s="41"/>
      <c r="C1130" s="31"/>
      <c r="D1130" s="32"/>
    </row>
    <row r="1131" spans="1:4" ht="42.75" customHeight="1" thickBot="1" x14ac:dyDescent="0.6">
      <c r="A1131" s="42"/>
      <c r="B1131" s="43"/>
      <c r="C1131" s="31"/>
      <c r="D1131" s="32"/>
    </row>
    <row r="1132" spans="1:4" ht="42.75" customHeight="1" thickBot="1" x14ac:dyDescent="0.6">
      <c r="A1132" s="44"/>
      <c r="B1132" s="45"/>
      <c r="C1132" s="45"/>
      <c r="D1132" s="46"/>
    </row>
    <row r="1133" spans="1:4" ht="42.75" customHeight="1" thickBot="1" x14ac:dyDescent="0.6">
      <c r="A1133" s="56"/>
      <c r="B1133" s="57"/>
      <c r="C1133" s="57"/>
      <c r="D1133" s="58"/>
    </row>
    <row r="1134" spans="1:4" ht="42.75" customHeight="1" thickBot="1" x14ac:dyDescent="0.6">
      <c r="A1134" s="50"/>
      <c r="B1134" s="51"/>
      <c r="C1134" s="51"/>
      <c r="D1134" s="52"/>
    </row>
    <row r="1135" spans="1:4" ht="42.75" customHeight="1" thickBot="1" x14ac:dyDescent="0.6">
      <c r="A1135" s="1"/>
      <c r="B1135" s="2"/>
      <c r="C1135" s="2"/>
      <c r="D1135" s="3"/>
    </row>
    <row r="1136" spans="1:4" ht="42.75" customHeight="1" thickBot="1" x14ac:dyDescent="0.6">
      <c r="A1136" s="10"/>
      <c r="B1136" s="11"/>
      <c r="C1136" s="12"/>
      <c r="D1136" s="11"/>
    </row>
    <row r="1137" spans="1:4" ht="42.75" customHeight="1" thickBot="1" x14ac:dyDescent="0.6">
      <c r="A1137" s="14"/>
      <c r="B1137" s="15"/>
      <c r="C1137" s="16"/>
      <c r="D1137" s="17"/>
    </row>
    <row r="1138" spans="1:4" ht="42.75" customHeight="1" thickBot="1" x14ac:dyDescent="0.6">
      <c r="A1138" s="15"/>
      <c r="B1138" s="15"/>
      <c r="C1138" s="20"/>
      <c r="D1138" s="21"/>
    </row>
    <row r="1139" spans="1:4" ht="42.75" customHeight="1" thickBot="1" x14ac:dyDescent="0.6">
      <c r="A1139" s="23"/>
      <c r="B1139" s="24"/>
      <c r="C1139" s="25"/>
      <c r="D1139" s="26"/>
    </row>
    <row r="1140" spans="1:4" ht="42.75" customHeight="1" thickBot="1" x14ac:dyDescent="0.6">
      <c r="A1140" s="23"/>
      <c r="B1140" s="24"/>
      <c r="C1140" s="31"/>
      <c r="D1140" s="32"/>
    </row>
    <row r="1141" spans="1:4" ht="42.75" customHeight="1" thickBot="1" x14ac:dyDescent="0.7">
      <c r="A1141" s="34"/>
      <c r="B1141" s="35"/>
      <c r="C1141" s="36"/>
      <c r="D1141" s="32"/>
    </row>
    <row r="1142" spans="1:4" ht="42.75" customHeight="1" thickBot="1" x14ac:dyDescent="0.6">
      <c r="A1142" s="38"/>
      <c r="B1142" s="39"/>
      <c r="C1142" s="31"/>
      <c r="D1142" s="32"/>
    </row>
    <row r="1143" spans="1:4" ht="42.75" customHeight="1" thickBot="1" x14ac:dyDescent="0.6">
      <c r="A1143" s="40"/>
      <c r="B1143" s="41"/>
      <c r="C1143" s="31"/>
      <c r="D1143" s="32"/>
    </row>
    <row r="1144" spans="1:4" ht="42.75" customHeight="1" thickBot="1" x14ac:dyDescent="0.6">
      <c r="A1144" s="42"/>
      <c r="B1144" s="43"/>
      <c r="C1144" s="31"/>
      <c r="D1144" s="32"/>
    </row>
    <row r="1145" spans="1:4" ht="42.75" customHeight="1" thickBot="1" x14ac:dyDescent="0.6">
      <c r="A1145" s="44"/>
      <c r="B1145" s="45"/>
      <c r="C1145" s="45"/>
      <c r="D1145" s="46"/>
    </row>
    <row r="1146" spans="1:4" ht="42.75" customHeight="1" thickBot="1" x14ac:dyDescent="0.6">
      <c r="A1146" s="47"/>
      <c r="B1146" s="48"/>
      <c r="C1146" s="48"/>
      <c r="D1146" s="49"/>
    </row>
    <row r="1147" spans="1:4" ht="42.75" customHeight="1" thickBot="1" x14ac:dyDescent="0.6">
      <c r="A1147" s="50"/>
      <c r="B1147" s="51"/>
      <c r="C1147" s="51"/>
      <c r="D1147" s="52"/>
    </row>
    <row r="1148" spans="1:4" ht="42.75" customHeight="1" thickBot="1" x14ac:dyDescent="0.6">
      <c r="A1148" s="53"/>
      <c r="B1148" s="53"/>
      <c r="C1148" s="53"/>
      <c r="D1148" s="53"/>
    </row>
    <row r="1149" spans="1:4" ht="42.75" customHeight="1" thickBot="1" x14ac:dyDescent="0.6">
      <c r="A1149" s="1"/>
      <c r="B1149" s="2"/>
      <c r="C1149" s="2"/>
      <c r="D1149" s="3"/>
    </row>
    <row r="1150" spans="1:4" ht="42.75" customHeight="1" thickBot="1" x14ac:dyDescent="0.6">
      <c r="A1150" s="10"/>
      <c r="B1150" s="11"/>
      <c r="C1150" s="12"/>
      <c r="D1150" s="11"/>
    </row>
    <row r="1151" spans="1:4" ht="42.75" customHeight="1" thickBot="1" x14ac:dyDescent="0.6">
      <c r="A1151" s="14"/>
      <c r="B1151" s="15"/>
      <c r="C1151" s="16"/>
      <c r="D1151" s="17"/>
    </row>
    <row r="1152" spans="1:4" ht="42.75" customHeight="1" thickBot="1" x14ac:dyDescent="0.6">
      <c r="A1152" s="15"/>
      <c r="B1152" s="15"/>
      <c r="C1152" s="20"/>
      <c r="D1152" s="21"/>
    </row>
    <row r="1153" spans="1:4" ht="42.75" customHeight="1" thickBot="1" x14ac:dyDescent="0.6">
      <c r="A1153" s="23"/>
      <c r="B1153" s="24"/>
      <c r="C1153" s="25"/>
      <c r="D1153" s="26"/>
    </row>
    <row r="1154" spans="1:4" ht="42.75" customHeight="1" thickBot="1" x14ac:dyDescent="0.6">
      <c r="A1154" s="23"/>
      <c r="B1154" s="24"/>
      <c r="C1154" s="31"/>
      <c r="D1154" s="32"/>
    </row>
    <row r="1155" spans="1:4" ht="42.75" customHeight="1" thickBot="1" x14ac:dyDescent="0.7">
      <c r="A1155" s="34"/>
      <c r="B1155" s="35"/>
      <c r="C1155" s="36"/>
      <c r="D1155" s="32"/>
    </row>
    <row r="1156" spans="1:4" ht="42.75" customHeight="1" thickBot="1" x14ac:dyDescent="0.6">
      <c r="A1156" s="38"/>
      <c r="B1156" s="39"/>
      <c r="C1156" s="31"/>
      <c r="D1156" s="32"/>
    </row>
    <row r="1157" spans="1:4" ht="42.75" customHeight="1" thickBot="1" x14ac:dyDescent="0.6">
      <c r="A1157" s="40"/>
      <c r="B1157" s="41"/>
      <c r="C1157" s="31"/>
      <c r="D1157" s="32"/>
    </row>
    <row r="1158" spans="1:4" ht="42.75" customHeight="1" thickBot="1" x14ac:dyDescent="0.6">
      <c r="A1158" s="42"/>
      <c r="B1158" s="43"/>
      <c r="C1158" s="31"/>
      <c r="D1158" s="32"/>
    </row>
    <row r="1159" spans="1:4" ht="42.75" customHeight="1" thickBot="1" x14ac:dyDescent="0.6">
      <c r="A1159" s="44"/>
      <c r="B1159" s="45"/>
      <c r="C1159" s="45"/>
      <c r="D1159" s="46"/>
    </row>
    <row r="1160" spans="1:4" ht="42.75" customHeight="1" thickBot="1" x14ac:dyDescent="0.6">
      <c r="A1160" s="56"/>
      <c r="B1160" s="57"/>
      <c r="C1160" s="57"/>
      <c r="D1160" s="58"/>
    </row>
    <row r="1161" spans="1:4" ht="42.75" customHeight="1" thickBot="1" x14ac:dyDescent="0.6">
      <c r="A1161" s="50"/>
      <c r="B1161" s="51"/>
      <c r="C1161" s="51"/>
      <c r="D1161" s="52"/>
    </row>
    <row r="1162" spans="1:4" ht="42.75" customHeight="1" thickBot="1" x14ac:dyDescent="0.6">
      <c r="A1162" s="1"/>
      <c r="B1162" s="2"/>
      <c r="C1162" s="2"/>
      <c r="D1162" s="3"/>
    </row>
    <row r="1163" spans="1:4" ht="42.75" customHeight="1" thickBot="1" x14ac:dyDescent="0.6">
      <c r="A1163" s="10"/>
      <c r="B1163" s="11"/>
      <c r="C1163" s="12"/>
      <c r="D1163" s="11"/>
    </row>
    <row r="1164" spans="1:4" ht="42.75" customHeight="1" thickBot="1" x14ac:dyDescent="0.6">
      <c r="A1164" s="14"/>
      <c r="B1164" s="15"/>
      <c r="C1164" s="16"/>
      <c r="D1164" s="17"/>
    </row>
    <row r="1165" spans="1:4" ht="42.75" customHeight="1" thickBot="1" x14ac:dyDescent="0.6">
      <c r="A1165" s="15"/>
      <c r="B1165" s="15"/>
      <c r="C1165" s="20"/>
      <c r="D1165" s="21"/>
    </row>
    <row r="1166" spans="1:4" ht="42.75" customHeight="1" thickBot="1" x14ac:dyDescent="0.6">
      <c r="A1166" s="23"/>
      <c r="B1166" s="24"/>
      <c r="C1166" s="25"/>
      <c r="D1166" s="26"/>
    </row>
    <row r="1167" spans="1:4" ht="42.75" customHeight="1" thickBot="1" x14ac:dyDescent="0.6">
      <c r="A1167" s="23"/>
      <c r="B1167" s="24"/>
      <c r="C1167" s="31"/>
      <c r="D1167" s="32"/>
    </row>
    <row r="1168" spans="1:4" ht="42.75" customHeight="1" thickBot="1" x14ac:dyDescent="0.7">
      <c r="A1168" s="34"/>
      <c r="B1168" s="35"/>
      <c r="C1168" s="36"/>
      <c r="D1168" s="32"/>
    </row>
    <row r="1169" spans="1:4" ht="42.75" customHeight="1" thickBot="1" x14ac:dyDescent="0.6">
      <c r="A1169" s="38"/>
      <c r="B1169" s="39"/>
      <c r="C1169" s="31"/>
      <c r="D1169" s="32"/>
    </row>
    <row r="1170" spans="1:4" ht="42.75" customHeight="1" thickBot="1" x14ac:dyDescent="0.6">
      <c r="A1170" s="40"/>
      <c r="B1170" s="41"/>
      <c r="C1170" s="31"/>
      <c r="D1170" s="32"/>
    </row>
    <row r="1171" spans="1:4" ht="42.75" customHeight="1" thickBot="1" x14ac:dyDescent="0.6">
      <c r="A1171" s="42"/>
      <c r="B1171" s="43"/>
      <c r="C1171" s="31"/>
      <c r="D1171" s="32"/>
    </row>
    <row r="1172" spans="1:4" ht="42.75" customHeight="1" thickBot="1" x14ac:dyDescent="0.6">
      <c r="A1172" s="44"/>
      <c r="B1172" s="45"/>
      <c r="C1172" s="45"/>
      <c r="D1172" s="46"/>
    </row>
    <row r="1173" spans="1:4" ht="42.75" customHeight="1" thickBot="1" x14ac:dyDescent="0.6">
      <c r="A1173" s="47"/>
      <c r="B1173" s="48"/>
      <c r="C1173" s="48"/>
      <c r="D1173" s="49"/>
    </row>
    <row r="1174" spans="1:4" ht="42.75" customHeight="1" thickBot="1" x14ac:dyDescent="0.6">
      <c r="A1174" s="50"/>
      <c r="B1174" s="51"/>
      <c r="C1174" s="51"/>
      <c r="D1174" s="52"/>
    </row>
    <row r="1175" spans="1:4" ht="42.75" customHeight="1" thickBot="1" x14ac:dyDescent="0.6">
      <c r="A1175" s="53"/>
      <c r="B1175" s="53"/>
      <c r="C1175" s="53"/>
      <c r="D1175" s="53"/>
    </row>
    <row r="1176" spans="1:4" ht="42.75" customHeight="1" thickBot="1" x14ac:dyDescent="0.6">
      <c r="A1176" s="1"/>
      <c r="B1176" s="2"/>
      <c r="C1176" s="2"/>
      <c r="D1176" s="3"/>
    </row>
    <row r="1177" spans="1:4" ht="42.75" customHeight="1" thickBot="1" x14ac:dyDescent="0.6">
      <c r="A1177" s="10"/>
      <c r="B1177" s="11"/>
      <c r="C1177" s="12"/>
      <c r="D1177" s="11"/>
    </row>
    <row r="1178" spans="1:4" ht="42.75" customHeight="1" thickBot="1" x14ac:dyDescent="0.6">
      <c r="A1178" s="14"/>
      <c r="B1178" s="15"/>
      <c r="C1178" s="16"/>
      <c r="D1178" s="17"/>
    </row>
    <row r="1179" spans="1:4" ht="42.75" customHeight="1" thickBot="1" x14ac:dyDescent="0.6">
      <c r="A1179" s="15"/>
      <c r="B1179" s="15"/>
      <c r="C1179" s="20"/>
      <c r="D1179" s="21"/>
    </row>
    <row r="1180" spans="1:4" ht="42.75" customHeight="1" thickBot="1" x14ac:dyDescent="0.6">
      <c r="A1180" s="23"/>
      <c r="B1180" s="24"/>
      <c r="C1180" s="25"/>
      <c r="D1180" s="26"/>
    </row>
    <row r="1181" spans="1:4" ht="42.75" customHeight="1" thickBot="1" x14ac:dyDescent="0.6">
      <c r="A1181" s="23"/>
      <c r="B1181" s="24"/>
      <c r="C1181" s="31"/>
      <c r="D1181" s="32"/>
    </row>
    <row r="1182" spans="1:4" ht="42.75" customHeight="1" thickBot="1" x14ac:dyDescent="0.7">
      <c r="A1182" s="34"/>
      <c r="B1182" s="35"/>
      <c r="C1182" s="36"/>
      <c r="D1182" s="32"/>
    </row>
    <row r="1183" spans="1:4" ht="42.75" customHeight="1" thickBot="1" x14ac:dyDescent="0.6">
      <c r="A1183" s="38"/>
      <c r="B1183" s="39"/>
      <c r="C1183" s="31"/>
      <c r="D1183" s="32"/>
    </row>
    <row r="1184" spans="1:4" ht="42.75" customHeight="1" thickBot="1" x14ac:dyDescent="0.6">
      <c r="A1184" s="40"/>
      <c r="B1184" s="41"/>
      <c r="C1184" s="31"/>
      <c r="D1184" s="32"/>
    </row>
    <row r="1185" spans="1:4" ht="42.75" customHeight="1" thickBot="1" x14ac:dyDescent="0.6">
      <c r="A1185" s="42"/>
      <c r="B1185" s="43"/>
      <c r="C1185" s="31"/>
      <c r="D1185" s="32"/>
    </row>
    <row r="1186" spans="1:4" ht="42.75" customHeight="1" thickBot="1" x14ac:dyDescent="0.6">
      <c r="A1186" s="44"/>
      <c r="B1186" s="45"/>
      <c r="C1186" s="45"/>
      <c r="D1186" s="46"/>
    </row>
    <row r="1187" spans="1:4" ht="42.75" customHeight="1" thickBot="1" x14ac:dyDescent="0.6">
      <c r="A1187" s="56"/>
      <c r="B1187" s="57"/>
      <c r="C1187" s="57"/>
      <c r="D1187" s="58"/>
    </row>
    <row r="1188" spans="1:4" ht="42.75" customHeight="1" thickBot="1" x14ac:dyDescent="0.6">
      <c r="A1188" s="50"/>
      <c r="B1188" s="51"/>
      <c r="C1188" s="51"/>
      <c r="D1188" s="52"/>
    </row>
    <row r="1189" spans="1:4" ht="42.75" customHeight="1" thickBot="1" x14ac:dyDescent="0.6">
      <c r="A1189" s="1"/>
      <c r="B1189" s="2"/>
      <c r="C1189" s="2"/>
      <c r="D1189" s="3"/>
    </row>
    <row r="1190" spans="1:4" ht="42.75" customHeight="1" thickBot="1" x14ac:dyDescent="0.6">
      <c r="A1190" s="10"/>
      <c r="B1190" s="11"/>
      <c r="C1190" s="12"/>
      <c r="D1190" s="11"/>
    </row>
    <row r="1191" spans="1:4" ht="42.75" customHeight="1" thickBot="1" x14ac:dyDescent="0.6">
      <c r="A1191" s="14"/>
      <c r="B1191" s="15"/>
      <c r="C1191" s="16"/>
      <c r="D1191" s="17"/>
    </row>
    <row r="1192" spans="1:4" ht="42.75" customHeight="1" thickBot="1" x14ac:dyDescent="0.6">
      <c r="A1192" s="15"/>
      <c r="B1192" s="15"/>
      <c r="C1192" s="20"/>
      <c r="D1192" s="21"/>
    </row>
    <row r="1193" spans="1:4" ht="42.75" customHeight="1" thickBot="1" x14ac:dyDescent="0.6">
      <c r="A1193" s="23"/>
      <c r="B1193" s="24"/>
      <c r="C1193" s="25"/>
      <c r="D1193" s="26"/>
    </row>
    <row r="1194" spans="1:4" ht="42.75" customHeight="1" thickBot="1" x14ac:dyDescent="0.6">
      <c r="A1194" s="23"/>
      <c r="B1194" s="24"/>
      <c r="C1194" s="31"/>
      <c r="D1194" s="32"/>
    </row>
    <row r="1195" spans="1:4" ht="42.75" customHeight="1" thickBot="1" x14ac:dyDescent="0.7">
      <c r="A1195" s="34"/>
      <c r="B1195" s="35"/>
      <c r="C1195" s="36"/>
      <c r="D1195" s="32"/>
    </row>
    <row r="1196" spans="1:4" ht="42.75" customHeight="1" thickBot="1" x14ac:dyDescent="0.6">
      <c r="A1196" s="38"/>
      <c r="B1196" s="39"/>
      <c r="C1196" s="31"/>
      <c r="D1196" s="32"/>
    </row>
    <row r="1197" spans="1:4" ht="42.75" customHeight="1" thickBot="1" x14ac:dyDescent="0.6">
      <c r="A1197" s="40"/>
      <c r="B1197" s="41"/>
      <c r="C1197" s="31"/>
      <c r="D1197" s="32"/>
    </row>
    <row r="1198" spans="1:4" ht="42.75" customHeight="1" thickBot="1" x14ac:dyDescent="0.6">
      <c r="A1198" s="42"/>
      <c r="B1198" s="43"/>
      <c r="C1198" s="31"/>
      <c r="D1198" s="32"/>
    </row>
    <row r="1199" spans="1:4" ht="42.75" customHeight="1" thickBot="1" x14ac:dyDescent="0.6">
      <c r="A1199" s="44"/>
      <c r="B1199" s="45"/>
      <c r="C1199" s="45"/>
      <c r="D1199" s="46"/>
    </row>
    <row r="1200" spans="1:4" ht="42.75" customHeight="1" thickBot="1" x14ac:dyDescent="0.6">
      <c r="A1200" s="47"/>
      <c r="B1200" s="48"/>
      <c r="C1200" s="48"/>
      <c r="D1200" s="49"/>
    </row>
    <row r="1201" spans="1:4" ht="42.75" customHeight="1" thickBot="1" x14ac:dyDescent="0.6">
      <c r="A1201" s="50"/>
      <c r="B1201" s="51"/>
      <c r="C1201" s="51"/>
      <c r="D1201" s="52"/>
    </row>
    <row r="1202" spans="1:4" ht="42.75" customHeight="1" thickBot="1" x14ac:dyDescent="0.6">
      <c r="A1202" s="53"/>
      <c r="B1202" s="53"/>
      <c r="C1202" s="53"/>
      <c r="D1202" s="53"/>
    </row>
    <row r="1203" spans="1:4" ht="42.75" customHeight="1" thickBot="1" x14ac:dyDescent="0.6">
      <c r="A1203" s="1"/>
      <c r="B1203" s="2"/>
      <c r="C1203" s="2"/>
      <c r="D1203" s="3"/>
    </row>
    <row r="1204" spans="1:4" ht="42.75" customHeight="1" thickBot="1" x14ac:dyDescent="0.6">
      <c r="A1204" s="10"/>
      <c r="B1204" s="11"/>
      <c r="C1204" s="12"/>
      <c r="D1204" s="11"/>
    </row>
    <row r="1205" spans="1:4" ht="42.75" customHeight="1" thickBot="1" x14ac:dyDescent="0.6">
      <c r="A1205" s="14"/>
      <c r="B1205" s="15"/>
      <c r="C1205" s="16"/>
      <c r="D1205" s="17"/>
    </row>
    <row r="1206" spans="1:4" ht="42.75" customHeight="1" thickBot="1" x14ac:dyDescent="0.6">
      <c r="A1206" s="15"/>
      <c r="B1206" s="15"/>
      <c r="C1206" s="20"/>
      <c r="D1206" s="21"/>
    </row>
    <row r="1207" spans="1:4" ht="42.75" customHeight="1" thickBot="1" x14ac:dyDescent="0.6">
      <c r="A1207" s="23"/>
      <c r="B1207" s="24"/>
      <c r="C1207" s="25"/>
      <c r="D1207" s="26"/>
    </row>
    <row r="1208" spans="1:4" ht="42.75" customHeight="1" thickBot="1" x14ac:dyDescent="0.6">
      <c r="A1208" s="23"/>
      <c r="B1208" s="24"/>
      <c r="C1208" s="31"/>
      <c r="D1208" s="32"/>
    </row>
    <row r="1209" spans="1:4" ht="42.75" customHeight="1" thickBot="1" x14ac:dyDescent="0.7">
      <c r="A1209" s="34"/>
      <c r="B1209" s="35"/>
      <c r="C1209" s="36"/>
      <c r="D1209" s="32"/>
    </row>
    <row r="1210" spans="1:4" ht="42.75" customHeight="1" thickBot="1" x14ac:dyDescent="0.6">
      <c r="A1210" s="38"/>
      <c r="B1210" s="39"/>
      <c r="C1210" s="31"/>
      <c r="D1210" s="32"/>
    </row>
    <row r="1211" spans="1:4" ht="42.75" customHeight="1" thickBot="1" x14ac:dyDescent="0.6">
      <c r="A1211" s="40"/>
      <c r="B1211" s="41"/>
      <c r="C1211" s="31"/>
      <c r="D1211" s="32"/>
    </row>
    <row r="1212" spans="1:4" ht="42.75" customHeight="1" thickBot="1" x14ac:dyDescent="0.6">
      <c r="A1212" s="42"/>
      <c r="B1212" s="43"/>
      <c r="C1212" s="31"/>
      <c r="D1212" s="32"/>
    </row>
    <row r="1213" spans="1:4" ht="42.75" customHeight="1" thickBot="1" x14ac:dyDescent="0.6">
      <c r="A1213" s="44"/>
      <c r="B1213" s="45"/>
      <c r="C1213" s="45"/>
      <c r="D1213" s="46"/>
    </row>
    <row r="1214" spans="1:4" ht="42.75" customHeight="1" thickBot="1" x14ac:dyDescent="0.6">
      <c r="A1214" s="56"/>
      <c r="B1214" s="57"/>
      <c r="C1214" s="57"/>
      <c r="D1214" s="58"/>
    </row>
    <row r="1215" spans="1:4" ht="42.75" customHeight="1" thickBot="1" x14ac:dyDescent="0.6">
      <c r="A1215" s="50"/>
      <c r="B1215" s="51"/>
      <c r="C1215" s="51"/>
      <c r="D1215" s="52"/>
    </row>
    <row r="1216" spans="1:4" ht="42.75" customHeight="1" thickBot="1" x14ac:dyDescent="0.6">
      <c r="A1216" s="1"/>
      <c r="B1216" s="2"/>
      <c r="C1216" s="2"/>
      <c r="D1216" s="3"/>
    </row>
    <row r="1217" spans="1:4" ht="42.75" customHeight="1" thickBot="1" x14ac:dyDescent="0.6">
      <c r="A1217" s="10"/>
      <c r="B1217" s="11"/>
      <c r="C1217" s="12"/>
      <c r="D1217" s="11"/>
    </row>
    <row r="1218" spans="1:4" ht="42.75" customHeight="1" thickBot="1" x14ac:dyDescent="0.6">
      <c r="A1218" s="14"/>
      <c r="B1218" s="15"/>
      <c r="C1218" s="16"/>
      <c r="D1218" s="17"/>
    </row>
    <row r="1219" spans="1:4" ht="42.75" customHeight="1" thickBot="1" x14ac:dyDescent="0.6">
      <c r="A1219" s="15"/>
      <c r="B1219" s="15"/>
      <c r="C1219" s="20"/>
      <c r="D1219" s="21"/>
    </row>
    <row r="1220" spans="1:4" ht="42.75" customHeight="1" thickBot="1" x14ac:dyDescent="0.6">
      <c r="A1220" s="23"/>
      <c r="B1220" s="24"/>
      <c r="C1220" s="25"/>
      <c r="D1220" s="26"/>
    </row>
    <row r="1221" spans="1:4" ht="42.75" customHeight="1" thickBot="1" x14ac:dyDescent="0.6">
      <c r="A1221" s="23"/>
      <c r="B1221" s="24"/>
      <c r="C1221" s="31"/>
      <c r="D1221" s="32"/>
    </row>
    <row r="1222" spans="1:4" ht="42.75" customHeight="1" thickBot="1" x14ac:dyDescent="0.7">
      <c r="A1222" s="34"/>
      <c r="B1222" s="35"/>
      <c r="C1222" s="36"/>
      <c r="D1222" s="32"/>
    </row>
    <row r="1223" spans="1:4" ht="42.75" customHeight="1" thickBot="1" x14ac:dyDescent="0.6">
      <c r="A1223" s="38"/>
      <c r="B1223" s="39"/>
      <c r="C1223" s="31"/>
      <c r="D1223" s="32"/>
    </row>
    <row r="1224" spans="1:4" ht="42.75" customHeight="1" thickBot="1" x14ac:dyDescent="0.6">
      <c r="A1224" s="40"/>
      <c r="B1224" s="41"/>
      <c r="C1224" s="31"/>
      <c r="D1224" s="32"/>
    </row>
    <row r="1225" spans="1:4" ht="42.75" customHeight="1" thickBot="1" x14ac:dyDescent="0.6">
      <c r="A1225" s="42"/>
      <c r="B1225" s="43"/>
      <c r="C1225" s="31"/>
      <c r="D1225" s="32"/>
    </row>
    <row r="1226" spans="1:4" ht="42.75" customHeight="1" thickBot="1" x14ac:dyDescent="0.6">
      <c r="A1226" s="44"/>
      <c r="B1226" s="45"/>
      <c r="C1226" s="45"/>
      <c r="D1226" s="46"/>
    </row>
    <row r="1227" spans="1:4" ht="42.75" customHeight="1" thickBot="1" x14ac:dyDescent="0.6">
      <c r="A1227" s="47"/>
      <c r="B1227" s="48"/>
      <c r="C1227" s="48"/>
      <c r="D1227" s="49"/>
    </row>
    <row r="1228" spans="1:4" ht="42.75" customHeight="1" thickBot="1" x14ac:dyDescent="0.6">
      <c r="A1228" s="50"/>
      <c r="B1228" s="51"/>
      <c r="C1228" s="51"/>
      <c r="D1228" s="52"/>
    </row>
    <row r="1229" spans="1:4" ht="42.75" customHeight="1" thickBot="1" x14ac:dyDescent="0.6">
      <c r="A1229" s="53"/>
      <c r="B1229" s="53"/>
      <c r="C1229" s="53"/>
      <c r="D1229" s="53"/>
    </row>
    <row r="1230" spans="1:4" ht="42.75" customHeight="1" thickBot="1" x14ac:dyDescent="0.6">
      <c r="A1230" s="1"/>
      <c r="B1230" s="2"/>
      <c r="C1230" s="2"/>
      <c r="D1230" s="3"/>
    </row>
    <row r="1231" spans="1:4" ht="42.75" customHeight="1" thickBot="1" x14ac:dyDescent="0.6">
      <c r="A1231" s="10"/>
      <c r="B1231" s="11"/>
      <c r="C1231" s="12"/>
      <c r="D1231" s="11"/>
    </row>
    <row r="1232" spans="1:4" ht="42.75" customHeight="1" thickBot="1" x14ac:dyDescent="0.6">
      <c r="A1232" s="14"/>
      <c r="B1232" s="15"/>
      <c r="C1232" s="16"/>
      <c r="D1232" s="17"/>
    </row>
    <row r="1233" spans="1:4" ht="42.75" customHeight="1" thickBot="1" x14ac:dyDescent="0.6">
      <c r="A1233" s="15"/>
      <c r="B1233" s="15"/>
      <c r="C1233" s="20"/>
      <c r="D1233" s="21"/>
    </row>
    <row r="1234" spans="1:4" ht="42.75" customHeight="1" thickBot="1" x14ac:dyDescent="0.6">
      <c r="A1234" s="23"/>
      <c r="B1234" s="24"/>
      <c r="C1234" s="25"/>
      <c r="D1234" s="26"/>
    </row>
    <row r="1235" spans="1:4" ht="42.75" customHeight="1" thickBot="1" x14ac:dyDescent="0.6">
      <c r="A1235" s="23"/>
      <c r="B1235" s="24"/>
      <c r="C1235" s="31"/>
      <c r="D1235" s="32"/>
    </row>
    <row r="1236" spans="1:4" ht="42.75" customHeight="1" thickBot="1" x14ac:dyDescent="0.7">
      <c r="A1236" s="34"/>
      <c r="B1236" s="35"/>
      <c r="C1236" s="36"/>
      <c r="D1236" s="32"/>
    </row>
    <row r="1237" spans="1:4" ht="42.75" customHeight="1" thickBot="1" x14ac:dyDescent="0.6">
      <c r="A1237" s="38"/>
      <c r="B1237" s="39"/>
      <c r="C1237" s="31"/>
      <c r="D1237" s="32"/>
    </row>
    <row r="1238" spans="1:4" ht="42.75" customHeight="1" thickBot="1" x14ac:dyDescent="0.6">
      <c r="A1238" s="40"/>
      <c r="B1238" s="41"/>
      <c r="C1238" s="31"/>
      <c r="D1238" s="32"/>
    </row>
    <row r="1239" spans="1:4" ht="42.75" customHeight="1" thickBot="1" x14ac:dyDescent="0.6">
      <c r="A1239" s="42"/>
      <c r="B1239" s="43"/>
      <c r="C1239" s="31"/>
      <c r="D1239" s="32"/>
    </row>
    <row r="1240" spans="1:4" ht="42.75" customHeight="1" thickBot="1" x14ac:dyDescent="0.6">
      <c r="A1240" s="44"/>
      <c r="B1240" s="45"/>
      <c r="C1240" s="45"/>
      <c r="D1240" s="46"/>
    </row>
    <row r="1241" spans="1:4" ht="42.75" customHeight="1" thickBot="1" x14ac:dyDescent="0.6">
      <c r="A1241" s="56"/>
      <c r="B1241" s="57"/>
      <c r="C1241" s="57"/>
      <c r="D1241" s="58"/>
    </row>
    <row r="1242" spans="1:4" ht="42.75" customHeight="1" thickBot="1" x14ac:dyDescent="0.6">
      <c r="A1242" s="50"/>
      <c r="B1242" s="51"/>
      <c r="C1242" s="51"/>
      <c r="D1242" s="52"/>
    </row>
    <row r="1243" spans="1:4" ht="42.75" customHeight="1" thickBot="1" x14ac:dyDescent="0.6">
      <c r="A1243" s="1"/>
      <c r="B1243" s="2"/>
      <c r="C1243" s="2"/>
      <c r="D1243" s="3"/>
    </row>
    <row r="1244" spans="1:4" ht="42.75" customHeight="1" thickBot="1" x14ac:dyDescent="0.6">
      <c r="A1244" s="10"/>
      <c r="B1244" s="11"/>
      <c r="C1244" s="12"/>
      <c r="D1244" s="11"/>
    </row>
    <row r="1245" spans="1:4" ht="42.75" customHeight="1" thickBot="1" x14ac:dyDescent="0.6">
      <c r="A1245" s="14"/>
      <c r="B1245" s="15"/>
      <c r="C1245" s="16"/>
      <c r="D1245" s="17"/>
    </row>
    <row r="1246" spans="1:4" ht="42.75" customHeight="1" thickBot="1" x14ac:dyDescent="0.6">
      <c r="A1246" s="15"/>
      <c r="B1246" s="15"/>
      <c r="C1246" s="20"/>
      <c r="D1246" s="21"/>
    </row>
    <row r="1247" spans="1:4" ht="42.75" customHeight="1" thickBot="1" x14ac:dyDescent="0.6">
      <c r="A1247" s="23"/>
      <c r="B1247" s="24"/>
      <c r="C1247" s="25"/>
      <c r="D1247" s="26"/>
    </row>
    <row r="1248" spans="1:4" ht="42.75" customHeight="1" thickBot="1" x14ac:dyDescent="0.6">
      <c r="A1248" s="23"/>
      <c r="B1248" s="24"/>
      <c r="C1248" s="31"/>
      <c r="D1248" s="32"/>
    </row>
    <row r="1249" spans="1:4" ht="42.75" customHeight="1" thickBot="1" x14ac:dyDescent="0.7">
      <c r="A1249" s="34"/>
      <c r="B1249" s="35"/>
      <c r="C1249" s="36"/>
      <c r="D1249" s="32"/>
    </row>
    <row r="1250" spans="1:4" ht="42.75" customHeight="1" thickBot="1" x14ac:dyDescent="0.6">
      <c r="A1250" s="38"/>
      <c r="B1250" s="39"/>
      <c r="C1250" s="31"/>
      <c r="D1250" s="32"/>
    </row>
    <row r="1251" spans="1:4" ht="42.75" customHeight="1" thickBot="1" x14ac:dyDescent="0.6">
      <c r="A1251" s="40"/>
      <c r="B1251" s="41"/>
      <c r="C1251" s="31"/>
      <c r="D1251" s="32"/>
    </row>
    <row r="1252" spans="1:4" ht="42.75" customHeight="1" thickBot="1" x14ac:dyDescent="0.6">
      <c r="A1252" s="42"/>
      <c r="B1252" s="43"/>
      <c r="C1252" s="31"/>
      <c r="D1252" s="32"/>
    </row>
    <row r="1253" spans="1:4" ht="42.75" customHeight="1" thickBot="1" x14ac:dyDescent="0.6">
      <c r="A1253" s="44"/>
      <c r="B1253" s="45"/>
      <c r="C1253" s="45"/>
      <c r="D1253" s="46"/>
    </row>
    <row r="1254" spans="1:4" ht="42.75" customHeight="1" thickBot="1" x14ac:dyDescent="0.6">
      <c r="A1254" s="47"/>
      <c r="B1254" s="48"/>
      <c r="C1254" s="48"/>
      <c r="D1254" s="49"/>
    </row>
    <row r="1255" spans="1:4" ht="42.75" customHeight="1" thickBot="1" x14ac:dyDescent="0.6">
      <c r="A1255" s="50"/>
      <c r="B1255" s="51"/>
      <c r="C1255" s="51"/>
      <c r="D1255" s="52"/>
    </row>
    <row r="1256" spans="1:4" ht="42.75" customHeight="1" thickBot="1" x14ac:dyDescent="0.6">
      <c r="A1256" s="53"/>
      <c r="B1256" s="53"/>
      <c r="C1256" s="53"/>
      <c r="D1256" s="53"/>
    </row>
    <row r="1257" spans="1:4" ht="42.75" customHeight="1" thickBot="1" x14ac:dyDescent="0.6">
      <c r="A1257" s="1"/>
      <c r="B1257" s="2"/>
      <c r="C1257" s="2"/>
      <c r="D1257" s="3"/>
    </row>
    <row r="1258" spans="1:4" ht="42.75" customHeight="1" thickBot="1" x14ac:dyDescent="0.6">
      <c r="A1258" s="10"/>
      <c r="B1258" s="11"/>
      <c r="C1258" s="12"/>
      <c r="D1258" s="11"/>
    </row>
    <row r="1259" spans="1:4" ht="42.75" customHeight="1" thickBot="1" x14ac:dyDescent="0.6">
      <c r="A1259" s="14"/>
      <c r="B1259" s="15"/>
      <c r="C1259" s="16"/>
      <c r="D1259" s="17"/>
    </row>
    <row r="1260" spans="1:4" ht="42.75" customHeight="1" thickBot="1" x14ac:dyDescent="0.6">
      <c r="A1260" s="15"/>
      <c r="B1260" s="15"/>
      <c r="C1260" s="20"/>
      <c r="D1260" s="21"/>
    </row>
    <row r="1261" spans="1:4" ht="42.75" customHeight="1" thickBot="1" x14ac:dyDescent="0.6">
      <c r="A1261" s="23"/>
      <c r="B1261" s="24"/>
      <c r="C1261" s="25"/>
      <c r="D1261" s="26"/>
    </row>
    <row r="1262" spans="1:4" ht="42.75" customHeight="1" thickBot="1" x14ac:dyDescent="0.6">
      <c r="A1262" s="23"/>
      <c r="B1262" s="24"/>
      <c r="C1262" s="31"/>
      <c r="D1262" s="32"/>
    </row>
    <row r="1263" spans="1:4" ht="42.75" customHeight="1" thickBot="1" x14ac:dyDescent="0.7">
      <c r="A1263" s="34"/>
      <c r="B1263" s="35"/>
      <c r="C1263" s="36"/>
      <c r="D1263" s="32"/>
    </row>
    <row r="1264" spans="1:4" ht="42.75" customHeight="1" thickBot="1" x14ac:dyDescent="0.6">
      <c r="A1264" s="38"/>
      <c r="B1264" s="39"/>
      <c r="C1264" s="31"/>
      <c r="D1264" s="32"/>
    </row>
    <row r="1265" spans="1:4" ht="42.75" customHeight="1" thickBot="1" x14ac:dyDescent="0.6">
      <c r="A1265" s="40"/>
      <c r="B1265" s="41"/>
      <c r="C1265" s="31"/>
      <c r="D1265" s="32"/>
    </row>
    <row r="1266" spans="1:4" ht="42.75" customHeight="1" thickBot="1" x14ac:dyDescent="0.6">
      <c r="A1266" s="42"/>
      <c r="B1266" s="43"/>
      <c r="C1266" s="31"/>
      <c r="D1266" s="32"/>
    </row>
    <row r="1267" spans="1:4" ht="42.75" customHeight="1" thickBot="1" x14ac:dyDescent="0.6">
      <c r="A1267" s="44"/>
      <c r="B1267" s="45"/>
      <c r="C1267" s="45"/>
      <c r="D1267" s="46"/>
    </row>
    <row r="1268" spans="1:4" ht="42.75" customHeight="1" thickBot="1" x14ac:dyDescent="0.6">
      <c r="A1268" s="56"/>
      <c r="B1268" s="57"/>
      <c r="C1268" s="57"/>
      <c r="D1268" s="58"/>
    </row>
    <row r="1269" spans="1:4" ht="42.75" customHeight="1" thickBot="1" x14ac:dyDescent="0.6">
      <c r="A1269" s="50"/>
      <c r="B1269" s="51"/>
      <c r="C1269" s="51"/>
      <c r="D1269" s="52"/>
    </row>
    <row r="1270" spans="1:4" ht="42.75" customHeight="1" thickBot="1" x14ac:dyDescent="0.6">
      <c r="A1270" s="1"/>
      <c r="B1270" s="2"/>
      <c r="C1270" s="2"/>
      <c r="D1270" s="3"/>
    </row>
    <row r="1271" spans="1:4" ht="42.75" customHeight="1" thickBot="1" x14ac:dyDescent="0.6">
      <c r="A1271" s="10"/>
      <c r="B1271" s="11"/>
      <c r="C1271" s="12"/>
      <c r="D1271" s="11"/>
    </row>
    <row r="1272" spans="1:4" ht="42.75" customHeight="1" thickBot="1" x14ac:dyDescent="0.6">
      <c r="A1272" s="14"/>
      <c r="B1272" s="15"/>
      <c r="C1272" s="16"/>
      <c r="D1272" s="17"/>
    </row>
    <row r="1273" spans="1:4" ht="42.75" customHeight="1" thickBot="1" x14ac:dyDescent="0.6">
      <c r="A1273" s="15"/>
      <c r="B1273" s="15"/>
      <c r="C1273" s="20"/>
      <c r="D1273" s="21"/>
    </row>
    <row r="1274" spans="1:4" ht="42.75" customHeight="1" thickBot="1" x14ac:dyDescent="0.6">
      <c r="A1274" s="23"/>
      <c r="B1274" s="24"/>
      <c r="C1274" s="25"/>
      <c r="D1274" s="26"/>
    </row>
    <row r="1275" spans="1:4" ht="42.75" customHeight="1" thickBot="1" x14ac:dyDescent="0.6">
      <c r="A1275" s="23"/>
      <c r="B1275" s="24"/>
      <c r="C1275" s="31"/>
      <c r="D1275" s="32"/>
    </row>
    <row r="1276" spans="1:4" ht="42.75" customHeight="1" thickBot="1" x14ac:dyDescent="0.7">
      <c r="A1276" s="34"/>
      <c r="B1276" s="35"/>
      <c r="C1276" s="36"/>
      <c r="D1276" s="32"/>
    </row>
    <row r="1277" spans="1:4" ht="42.75" customHeight="1" thickBot="1" x14ac:dyDescent="0.6">
      <c r="A1277" s="38"/>
      <c r="B1277" s="39"/>
      <c r="C1277" s="31"/>
      <c r="D1277" s="32"/>
    </row>
    <row r="1278" spans="1:4" ht="42.75" customHeight="1" thickBot="1" x14ac:dyDescent="0.6">
      <c r="A1278" s="40"/>
      <c r="B1278" s="41"/>
      <c r="C1278" s="31"/>
      <c r="D1278" s="32"/>
    </row>
    <row r="1279" spans="1:4" ht="42.75" customHeight="1" thickBot="1" x14ac:dyDescent="0.6">
      <c r="A1279" s="42"/>
      <c r="B1279" s="43"/>
      <c r="C1279" s="31"/>
      <c r="D1279" s="32"/>
    </row>
    <row r="1280" spans="1:4" ht="42.75" customHeight="1" thickBot="1" x14ac:dyDescent="0.6">
      <c r="A1280" s="44"/>
      <c r="B1280" s="45"/>
      <c r="C1280" s="45"/>
      <c r="D1280" s="46"/>
    </row>
    <row r="1281" spans="1:4" ht="42.75" customHeight="1" thickBot="1" x14ac:dyDescent="0.6">
      <c r="A1281" s="47"/>
      <c r="B1281" s="48"/>
      <c r="C1281" s="48"/>
      <c r="D1281" s="49"/>
    </row>
    <row r="1282" spans="1:4" ht="42.75" customHeight="1" thickBot="1" x14ac:dyDescent="0.6">
      <c r="A1282" s="50"/>
      <c r="B1282" s="51"/>
      <c r="C1282" s="51"/>
      <c r="D1282" s="52"/>
    </row>
    <row r="1283" spans="1:4" ht="42.75" customHeight="1" thickBot="1" x14ac:dyDescent="0.6">
      <c r="A1283" s="53"/>
      <c r="B1283" s="53"/>
      <c r="C1283" s="53"/>
      <c r="D1283" s="53"/>
    </row>
    <row r="1284" spans="1:4" ht="42.75" customHeight="1" thickBot="1" x14ac:dyDescent="0.6">
      <c r="A1284" s="1"/>
      <c r="B1284" s="2"/>
      <c r="C1284" s="2"/>
      <c r="D1284" s="3"/>
    </row>
    <row r="1285" spans="1:4" ht="42.75" customHeight="1" thickBot="1" x14ac:dyDescent="0.6">
      <c r="A1285" s="10"/>
      <c r="B1285" s="11"/>
      <c r="C1285" s="12"/>
      <c r="D1285" s="11"/>
    </row>
    <row r="1286" spans="1:4" ht="42.75" customHeight="1" thickBot="1" x14ac:dyDescent="0.6">
      <c r="A1286" s="14"/>
      <c r="B1286" s="15"/>
      <c r="C1286" s="16"/>
      <c r="D1286" s="17"/>
    </row>
    <row r="1287" spans="1:4" ht="42.75" customHeight="1" thickBot="1" x14ac:dyDescent="0.6">
      <c r="A1287" s="15"/>
      <c r="B1287" s="15"/>
      <c r="C1287" s="20"/>
      <c r="D1287" s="21"/>
    </row>
    <row r="1288" spans="1:4" ht="42.75" customHeight="1" thickBot="1" x14ac:dyDescent="0.6">
      <c r="A1288" s="23"/>
      <c r="B1288" s="24"/>
      <c r="C1288" s="25"/>
      <c r="D1288" s="26"/>
    </row>
    <row r="1289" spans="1:4" ht="42.75" customHeight="1" thickBot="1" x14ac:dyDescent="0.6">
      <c r="A1289" s="23"/>
      <c r="B1289" s="24"/>
      <c r="C1289" s="31"/>
      <c r="D1289" s="32"/>
    </row>
    <row r="1290" spans="1:4" ht="42.75" customHeight="1" thickBot="1" x14ac:dyDescent="0.7">
      <c r="A1290" s="34"/>
      <c r="B1290" s="35"/>
      <c r="C1290" s="36"/>
      <c r="D1290" s="32"/>
    </row>
    <row r="1291" spans="1:4" ht="42.75" customHeight="1" thickBot="1" x14ac:dyDescent="0.6">
      <c r="A1291" s="38"/>
      <c r="B1291" s="39"/>
      <c r="C1291" s="31"/>
      <c r="D1291" s="32"/>
    </row>
    <row r="1292" spans="1:4" ht="42.75" customHeight="1" thickBot="1" x14ac:dyDescent="0.6">
      <c r="A1292" s="40"/>
      <c r="B1292" s="41"/>
      <c r="C1292" s="31"/>
      <c r="D1292" s="32"/>
    </row>
    <row r="1293" spans="1:4" ht="42.75" customHeight="1" thickBot="1" x14ac:dyDescent="0.6">
      <c r="A1293" s="42"/>
      <c r="B1293" s="43"/>
      <c r="C1293" s="31"/>
      <c r="D1293" s="32"/>
    </row>
    <row r="1294" spans="1:4" ht="42.75" customHeight="1" thickBot="1" x14ac:dyDescent="0.6">
      <c r="A1294" s="44"/>
      <c r="B1294" s="45"/>
      <c r="C1294" s="45"/>
      <c r="D1294" s="46"/>
    </row>
    <row r="1295" spans="1:4" ht="42.75" customHeight="1" thickBot="1" x14ac:dyDescent="0.6">
      <c r="A1295" s="56"/>
      <c r="B1295" s="57"/>
      <c r="C1295" s="57"/>
      <c r="D1295" s="58"/>
    </row>
    <row r="1296" spans="1:4" ht="42.75" customHeight="1" thickBot="1" x14ac:dyDescent="0.6">
      <c r="A1296" s="50"/>
      <c r="B1296" s="51"/>
      <c r="C1296" s="51"/>
      <c r="D1296" s="52"/>
    </row>
    <row r="1297" spans="1:4" ht="42.75" customHeight="1" thickBot="1" x14ac:dyDescent="0.6">
      <c r="A1297" s="1"/>
      <c r="B1297" s="2"/>
      <c r="C1297" s="2"/>
      <c r="D1297" s="3"/>
    </row>
    <row r="1298" spans="1:4" ht="42.75" customHeight="1" thickBot="1" x14ac:dyDescent="0.6">
      <c r="A1298" s="10"/>
      <c r="B1298" s="11"/>
      <c r="C1298" s="12"/>
      <c r="D1298" s="11"/>
    </row>
    <row r="1299" spans="1:4" ht="42.75" customHeight="1" thickBot="1" x14ac:dyDescent="0.6">
      <c r="A1299" s="14"/>
      <c r="B1299" s="15"/>
      <c r="C1299" s="16"/>
      <c r="D1299" s="17"/>
    </row>
    <row r="1300" spans="1:4" ht="42.75" customHeight="1" thickBot="1" x14ac:dyDescent="0.6">
      <c r="A1300" s="15"/>
      <c r="B1300" s="15"/>
      <c r="C1300" s="20"/>
      <c r="D1300" s="21"/>
    </row>
    <row r="1301" spans="1:4" ht="42.75" customHeight="1" thickBot="1" x14ac:dyDescent="0.6">
      <c r="A1301" s="23"/>
      <c r="B1301" s="24"/>
      <c r="C1301" s="25"/>
      <c r="D1301" s="26"/>
    </row>
    <row r="1302" spans="1:4" ht="42.75" customHeight="1" thickBot="1" x14ac:dyDescent="0.6">
      <c r="A1302" s="23"/>
      <c r="B1302" s="24"/>
      <c r="C1302" s="31"/>
      <c r="D1302" s="32"/>
    </row>
    <row r="1303" spans="1:4" ht="42.75" customHeight="1" thickBot="1" x14ac:dyDescent="0.7">
      <c r="A1303" s="34"/>
      <c r="B1303" s="35"/>
      <c r="C1303" s="36"/>
      <c r="D1303" s="32"/>
    </row>
    <row r="1304" spans="1:4" ht="42.75" customHeight="1" thickBot="1" x14ac:dyDescent="0.6">
      <c r="A1304" s="38"/>
      <c r="B1304" s="39"/>
      <c r="C1304" s="31"/>
      <c r="D1304" s="32"/>
    </row>
    <row r="1305" spans="1:4" ht="42.75" customHeight="1" thickBot="1" x14ac:dyDescent="0.6">
      <c r="A1305" s="40"/>
      <c r="B1305" s="41"/>
      <c r="C1305" s="31"/>
      <c r="D1305" s="32"/>
    </row>
    <row r="1306" spans="1:4" ht="42.75" customHeight="1" thickBot="1" x14ac:dyDescent="0.6">
      <c r="A1306" s="42"/>
      <c r="B1306" s="43"/>
      <c r="C1306" s="31"/>
      <c r="D1306" s="32"/>
    </row>
    <row r="1307" spans="1:4" ht="42.75" customHeight="1" thickBot="1" x14ac:dyDescent="0.6">
      <c r="A1307" s="44"/>
      <c r="B1307" s="45"/>
      <c r="C1307" s="45"/>
      <c r="D1307" s="46"/>
    </row>
    <row r="1308" spans="1:4" ht="42.75" customHeight="1" thickBot="1" x14ac:dyDescent="0.6">
      <c r="A1308" s="47"/>
      <c r="B1308" s="48"/>
      <c r="C1308" s="48"/>
      <c r="D1308" s="49"/>
    </row>
    <row r="1309" spans="1:4" ht="42.75" customHeight="1" thickBot="1" x14ac:dyDescent="0.6">
      <c r="A1309" s="50"/>
      <c r="B1309" s="51"/>
      <c r="C1309" s="51"/>
      <c r="D1309" s="52"/>
    </row>
    <row r="1310" spans="1:4" ht="42.75" customHeight="1" thickBot="1" x14ac:dyDescent="0.6">
      <c r="A1310" s="53"/>
      <c r="B1310" s="53"/>
      <c r="C1310" s="53"/>
      <c r="D1310" s="53"/>
    </row>
    <row r="1311" spans="1:4" ht="42.75" customHeight="1" thickBot="1" x14ac:dyDescent="0.6">
      <c r="A1311" s="1"/>
      <c r="B1311" s="2"/>
      <c r="C1311" s="2"/>
      <c r="D1311" s="3"/>
    </row>
    <row r="1312" spans="1:4" ht="42.75" customHeight="1" thickBot="1" x14ac:dyDescent="0.6">
      <c r="A1312" s="10"/>
      <c r="B1312" s="11"/>
      <c r="C1312" s="12"/>
      <c r="D1312" s="11"/>
    </row>
    <row r="1313" spans="1:4" ht="42.75" customHeight="1" thickBot="1" x14ac:dyDescent="0.6">
      <c r="A1313" s="14"/>
      <c r="B1313" s="15"/>
      <c r="C1313" s="16"/>
      <c r="D1313" s="17"/>
    </row>
    <row r="1314" spans="1:4" ht="42.75" customHeight="1" thickBot="1" x14ac:dyDescent="0.6">
      <c r="A1314" s="15"/>
      <c r="B1314" s="15"/>
      <c r="C1314" s="20"/>
      <c r="D1314" s="21"/>
    </row>
    <row r="1315" spans="1:4" ht="42.75" customHeight="1" thickBot="1" x14ac:dyDescent="0.6">
      <c r="A1315" s="23"/>
      <c r="B1315" s="24"/>
      <c r="C1315" s="25"/>
      <c r="D1315" s="26"/>
    </row>
    <row r="1316" spans="1:4" ht="42.75" customHeight="1" thickBot="1" x14ac:dyDescent="0.6">
      <c r="A1316" s="23"/>
      <c r="B1316" s="24"/>
      <c r="C1316" s="31"/>
      <c r="D1316" s="32"/>
    </row>
    <row r="1317" spans="1:4" ht="42.75" customHeight="1" thickBot="1" x14ac:dyDescent="0.7">
      <c r="A1317" s="34"/>
      <c r="B1317" s="35"/>
      <c r="C1317" s="36"/>
      <c r="D1317" s="32"/>
    </row>
    <row r="1318" spans="1:4" ht="42.75" customHeight="1" thickBot="1" x14ac:dyDescent="0.6">
      <c r="A1318" s="38"/>
      <c r="B1318" s="39"/>
      <c r="C1318" s="31"/>
      <c r="D1318" s="32"/>
    </row>
    <row r="1319" spans="1:4" ht="42.75" customHeight="1" thickBot="1" x14ac:dyDescent="0.6">
      <c r="A1319" s="40"/>
      <c r="B1319" s="41"/>
      <c r="C1319" s="31"/>
      <c r="D1319" s="32"/>
    </row>
    <row r="1320" spans="1:4" ht="42.75" customHeight="1" thickBot="1" x14ac:dyDescent="0.6">
      <c r="A1320" s="42"/>
      <c r="B1320" s="43"/>
      <c r="C1320" s="31"/>
      <c r="D1320" s="32"/>
    </row>
    <row r="1321" spans="1:4" ht="42.75" customHeight="1" thickBot="1" x14ac:dyDescent="0.6">
      <c r="A1321" s="44"/>
      <c r="B1321" s="45"/>
      <c r="C1321" s="45"/>
      <c r="D1321" s="46"/>
    </row>
    <row r="1322" spans="1:4" ht="42.75" customHeight="1" thickBot="1" x14ac:dyDescent="0.6">
      <c r="A1322" s="56"/>
      <c r="B1322" s="57"/>
      <c r="C1322" s="57"/>
      <c r="D1322" s="58"/>
    </row>
    <row r="1323" spans="1:4" ht="42.75" customHeight="1" thickBot="1" x14ac:dyDescent="0.6">
      <c r="A1323" s="50"/>
      <c r="B1323" s="51"/>
      <c r="C1323" s="51"/>
      <c r="D1323" s="52"/>
    </row>
    <row r="1324" spans="1:4" ht="42.75" customHeight="1" thickBot="1" x14ac:dyDescent="0.6">
      <c r="A1324" s="1"/>
      <c r="B1324" s="2"/>
      <c r="C1324" s="2"/>
      <c r="D1324" s="3"/>
    </row>
    <row r="1325" spans="1:4" ht="42.75" customHeight="1" thickBot="1" x14ac:dyDescent="0.6">
      <c r="A1325" s="10"/>
      <c r="B1325" s="11"/>
      <c r="C1325" s="12"/>
      <c r="D1325" s="11"/>
    </row>
    <row r="1326" spans="1:4" ht="42.75" customHeight="1" thickBot="1" x14ac:dyDescent="0.6">
      <c r="A1326" s="14"/>
      <c r="B1326" s="15"/>
      <c r="C1326" s="16"/>
      <c r="D1326" s="17"/>
    </row>
    <row r="1327" spans="1:4" ht="42.75" customHeight="1" thickBot="1" x14ac:dyDescent="0.6">
      <c r="A1327" s="15"/>
      <c r="B1327" s="15"/>
      <c r="C1327" s="20"/>
      <c r="D1327" s="21"/>
    </row>
    <row r="1328" spans="1:4" ht="42.75" customHeight="1" thickBot="1" x14ac:dyDescent="0.6">
      <c r="A1328" s="23"/>
      <c r="B1328" s="24"/>
      <c r="C1328" s="25"/>
      <c r="D1328" s="26"/>
    </row>
    <row r="1329" spans="1:4" ht="42.75" customHeight="1" thickBot="1" x14ac:dyDescent="0.6">
      <c r="A1329" s="23"/>
      <c r="B1329" s="24"/>
      <c r="C1329" s="31"/>
      <c r="D1329" s="32"/>
    </row>
    <row r="1330" spans="1:4" ht="42.75" customHeight="1" thickBot="1" x14ac:dyDescent="0.7">
      <c r="A1330" s="34"/>
      <c r="B1330" s="35"/>
      <c r="C1330" s="36"/>
      <c r="D1330" s="32"/>
    </row>
    <row r="1331" spans="1:4" ht="42.75" customHeight="1" thickBot="1" x14ac:dyDescent="0.6">
      <c r="A1331" s="38"/>
      <c r="B1331" s="39"/>
      <c r="C1331" s="31"/>
      <c r="D1331" s="32"/>
    </row>
    <row r="1332" spans="1:4" ht="42.75" customHeight="1" thickBot="1" x14ac:dyDescent="0.6">
      <c r="A1332" s="40"/>
      <c r="B1332" s="41"/>
      <c r="C1332" s="31"/>
      <c r="D1332" s="32"/>
    </row>
    <row r="1333" spans="1:4" ht="42.75" customHeight="1" thickBot="1" x14ac:dyDescent="0.6">
      <c r="A1333" s="42"/>
      <c r="B1333" s="43"/>
      <c r="C1333" s="31"/>
      <c r="D1333" s="32"/>
    </row>
    <row r="1334" spans="1:4" ht="42.75" customHeight="1" thickBot="1" x14ac:dyDescent="0.6">
      <c r="A1334" s="44"/>
      <c r="B1334" s="45"/>
      <c r="C1334" s="45"/>
      <c r="D1334" s="46"/>
    </row>
    <row r="1335" spans="1:4" ht="42.75" customHeight="1" thickBot="1" x14ac:dyDescent="0.6">
      <c r="A1335" s="47"/>
      <c r="B1335" s="48"/>
      <c r="C1335" s="48"/>
      <c r="D1335" s="49"/>
    </row>
    <row r="1336" spans="1:4" ht="42.75" customHeight="1" thickBot="1" x14ac:dyDescent="0.6">
      <c r="A1336" s="50"/>
      <c r="B1336" s="51"/>
      <c r="C1336" s="51"/>
      <c r="D1336" s="52"/>
    </row>
    <row r="1337" spans="1:4" ht="42.75" customHeight="1" thickBot="1" x14ac:dyDescent="0.6">
      <c r="A1337" s="53"/>
      <c r="B1337" s="53"/>
      <c r="C1337" s="53"/>
      <c r="D1337" s="53"/>
    </row>
    <row r="1338" spans="1:4" ht="42.75" customHeight="1" thickBot="1" x14ac:dyDescent="0.6">
      <c r="A1338" s="1"/>
      <c r="B1338" s="2"/>
      <c r="C1338" s="2"/>
      <c r="D1338" s="3"/>
    </row>
    <row r="1339" spans="1:4" ht="42.75" customHeight="1" thickBot="1" x14ac:dyDescent="0.6">
      <c r="A1339" s="10"/>
      <c r="B1339" s="11"/>
      <c r="C1339" s="12"/>
      <c r="D1339" s="11"/>
    </row>
    <row r="1340" spans="1:4" ht="42.75" customHeight="1" thickBot="1" x14ac:dyDescent="0.6">
      <c r="A1340" s="14"/>
      <c r="B1340" s="15"/>
      <c r="C1340" s="16"/>
      <c r="D1340" s="17"/>
    </row>
    <row r="1341" spans="1:4" ht="42.75" customHeight="1" thickBot="1" x14ac:dyDescent="0.6">
      <c r="A1341" s="15"/>
      <c r="B1341" s="15"/>
      <c r="C1341" s="20"/>
      <c r="D1341" s="21"/>
    </row>
    <row r="1342" spans="1:4" ht="42.75" customHeight="1" thickBot="1" x14ac:dyDescent="0.6">
      <c r="A1342" s="23"/>
      <c r="B1342" s="24"/>
      <c r="C1342" s="25"/>
      <c r="D1342" s="26"/>
    </row>
    <row r="1343" spans="1:4" ht="42.75" customHeight="1" thickBot="1" x14ac:dyDescent="0.6">
      <c r="A1343" s="23"/>
      <c r="B1343" s="24"/>
      <c r="C1343" s="31"/>
      <c r="D1343" s="32"/>
    </row>
    <row r="1344" spans="1:4" ht="42.75" customHeight="1" thickBot="1" x14ac:dyDescent="0.7">
      <c r="A1344" s="34"/>
      <c r="B1344" s="35"/>
      <c r="C1344" s="36"/>
      <c r="D1344" s="32"/>
    </row>
    <row r="1345" spans="1:4" ht="42.75" customHeight="1" thickBot="1" x14ac:dyDescent="0.6">
      <c r="A1345" s="38"/>
      <c r="B1345" s="39"/>
      <c r="C1345" s="31"/>
      <c r="D1345" s="32"/>
    </row>
    <row r="1346" spans="1:4" ht="42.75" customHeight="1" thickBot="1" x14ac:dyDescent="0.6">
      <c r="A1346" s="40"/>
      <c r="B1346" s="41"/>
      <c r="C1346" s="31"/>
      <c r="D1346" s="32"/>
    </row>
    <row r="1347" spans="1:4" ht="42.75" customHeight="1" thickBot="1" x14ac:dyDescent="0.6">
      <c r="A1347" s="42"/>
      <c r="B1347" s="43"/>
      <c r="C1347" s="31"/>
      <c r="D1347" s="32"/>
    </row>
    <row r="1348" spans="1:4" ht="42.75" customHeight="1" thickBot="1" x14ac:dyDescent="0.6">
      <c r="A1348" s="44"/>
      <c r="B1348" s="45"/>
      <c r="C1348" s="45"/>
      <c r="D1348" s="46"/>
    </row>
    <row r="1349" spans="1:4" ht="42.75" customHeight="1" thickBot="1" x14ac:dyDescent="0.6">
      <c r="A1349" s="56"/>
      <c r="B1349" s="57"/>
      <c r="C1349" s="57"/>
      <c r="D1349" s="58"/>
    </row>
    <row r="1350" spans="1:4" ht="42.75" customHeight="1" thickBot="1" x14ac:dyDescent="0.6">
      <c r="A1350" s="50"/>
      <c r="B1350" s="51"/>
      <c r="C1350" s="51"/>
      <c r="D1350" s="52"/>
    </row>
  </sheetData>
  <mergeCells count="1951">
    <mergeCell ref="A1348:D1348"/>
    <mergeCell ref="A1349:D1349"/>
    <mergeCell ref="A1350:D1350"/>
    <mergeCell ref="A1345:B1345"/>
    <mergeCell ref="C1345:D1345"/>
    <mergeCell ref="A1346:B1346"/>
    <mergeCell ref="C1346:D1346"/>
    <mergeCell ref="A1347:B1347"/>
    <mergeCell ref="C1347:D1347"/>
    <mergeCell ref="C1340:D1340"/>
    <mergeCell ref="A1342:B1342"/>
    <mergeCell ref="C1342:D1342"/>
    <mergeCell ref="A1343:B1343"/>
    <mergeCell ref="C1343:D1343"/>
    <mergeCell ref="A1344:B1344"/>
    <mergeCell ref="C1344:D1344"/>
    <mergeCell ref="A1334:D1334"/>
    <mergeCell ref="A1335:D1335"/>
    <mergeCell ref="A1336:D1336"/>
    <mergeCell ref="A1337:D1337"/>
    <mergeCell ref="A1338:D1338"/>
    <mergeCell ref="A1339:B1339"/>
    <mergeCell ref="C1339:D1339"/>
    <mergeCell ref="A1331:B1331"/>
    <mergeCell ref="C1331:D1331"/>
    <mergeCell ref="A1332:B1332"/>
    <mergeCell ref="C1332:D1332"/>
    <mergeCell ref="A1333:B1333"/>
    <mergeCell ref="C1333:D1333"/>
    <mergeCell ref="C1326:D1326"/>
    <mergeCell ref="A1328:B1328"/>
    <mergeCell ref="C1328:D1328"/>
    <mergeCell ref="A1329:B1329"/>
    <mergeCell ref="C1329:D1329"/>
    <mergeCell ref="A1330:B1330"/>
    <mergeCell ref="C1330:D1330"/>
    <mergeCell ref="A1321:D1321"/>
    <mergeCell ref="A1322:D1322"/>
    <mergeCell ref="A1323:D1323"/>
    <mergeCell ref="A1324:D1324"/>
    <mergeCell ref="A1325:B1325"/>
    <mergeCell ref="C1325:D1325"/>
    <mergeCell ref="A1318:B1318"/>
    <mergeCell ref="C1318:D1318"/>
    <mergeCell ref="A1319:B1319"/>
    <mergeCell ref="C1319:D1319"/>
    <mergeCell ref="A1320:B1320"/>
    <mergeCell ref="C1320:D1320"/>
    <mergeCell ref="C1313:D1313"/>
    <mergeCell ref="A1315:B1315"/>
    <mergeCell ref="C1315:D1315"/>
    <mergeCell ref="A1316:B1316"/>
    <mergeCell ref="C1316:D1316"/>
    <mergeCell ref="A1317:B1317"/>
    <mergeCell ref="C1317:D1317"/>
    <mergeCell ref="A1307:D1307"/>
    <mergeCell ref="A1308:D1308"/>
    <mergeCell ref="A1309:D1309"/>
    <mergeCell ref="A1310:D1310"/>
    <mergeCell ref="A1311:D1311"/>
    <mergeCell ref="A1312:B1312"/>
    <mergeCell ref="C1312:D1312"/>
    <mergeCell ref="A1304:B1304"/>
    <mergeCell ref="C1304:D1304"/>
    <mergeCell ref="A1305:B1305"/>
    <mergeCell ref="C1305:D1305"/>
    <mergeCell ref="A1306:B1306"/>
    <mergeCell ref="C1306:D1306"/>
    <mergeCell ref="C1299:D1299"/>
    <mergeCell ref="A1301:B1301"/>
    <mergeCell ref="C1301:D1301"/>
    <mergeCell ref="A1302:B1302"/>
    <mergeCell ref="C1302:D1302"/>
    <mergeCell ref="A1303:B1303"/>
    <mergeCell ref="C1303:D1303"/>
    <mergeCell ref="A1294:D1294"/>
    <mergeCell ref="A1295:D1295"/>
    <mergeCell ref="A1296:D1296"/>
    <mergeCell ref="A1297:D1297"/>
    <mergeCell ref="A1298:B1298"/>
    <mergeCell ref="C1298:D1298"/>
    <mergeCell ref="A1291:B1291"/>
    <mergeCell ref="C1291:D1291"/>
    <mergeCell ref="A1292:B1292"/>
    <mergeCell ref="C1292:D1292"/>
    <mergeCell ref="A1293:B1293"/>
    <mergeCell ref="C1293:D1293"/>
    <mergeCell ref="C1286:D1286"/>
    <mergeCell ref="A1288:B1288"/>
    <mergeCell ref="C1288:D1288"/>
    <mergeCell ref="A1289:B1289"/>
    <mergeCell ref="C1289:D1289"/>
    <mergeCell ref="A1290:B1290"/>
    <mergeCell ref="C1290:D1290"/>
    <mergeCell ref="A1280:D1280"/>
    <mergeCell ref="A1281:D1281"/>
    <mergeCell ref="A1282:D1282"/>
    <mergeCell ref="A1283:D1283"/>
    <mergeCell ref="A1284:D1284"/>
    <mergeCell ref="A1285:B1285"/>
    <mergeCell ref="C1285:D1285"/>
    <mergeCell ref="A1277:B1277"/>
    <mergeCell ref="C1277:D1277"/>
    <mergeCell ref="A1278:B1278"/>
    <mergeCell ref="C1278:D1278"/>
    <mergeCell ref="A1279:B1279"/>
    <mergeCell ref="C1279:D1279"/>
    <mergeCell ref="C1272:D1272"/>
    <mergeCell ref="A1274:B1274"/>
    <mergeCell ref="C1274:D1274"/>
    <mergeCell ref="A1275:B1275"/>
    <mergeCell ref="C1275:D1275"/>
    <mergeCell ref="A1276:B1276"/>
    <mergeCell ref="C1276:D1276"/>
    <mergeCell ref="A1267:D1267"/>
    <mergeCell ref="A1268:D1268"/>
    <mergeCell ref="A1269:D1269"/>
    <mergeCell ref="A1270:D1270"/>
    <mergeCell ref="A1271:B1271"/>
    <mergeCell ref="C1271:D1271"/>
    <mergeCell ref="A1264:B1264"/>
    <mergeCell ref="C1264:D1264"/>
    <mergeCell ref="A1265:B1265"/>
    <mergeCell ref="C1265:D1265"/>
    <mergeCell ref="A1266:B1266"/>
    <mergeCell ref="C1266:D1266"/>
    <mergeCell ref="C1259:D1259"/>
    <mergeCell ref="A1261:B1261"/>
    <mergeCell ref="C1261:D1261"/>
    <mergeCell ref="A1262:B1262"/>
    <mergeCell ref="C1262:D1262"/>
    <mergeCell ref="A1263:B1263"/>
    <mergeCell ref="C1263:D1263"/>
    <mergeCell ref="A1253:D1253"/>
    <mergeCell ref="A1254:D1254"/>
    <mergeCell ref="A1255:D1255"/>
    <mergeCell ref="A1256:D1256"/>
    <mergeCell ref="A1257:D1257"/>
    <mergeCell ref="A1258:B1258"/>
    <mergeCell ref="C1258:D1258"/>
    <mergeCell ref="A1250:B1250"/>
    <mergeCell ref="C1250:D1250"/>
    <mergeCell ref="A1251:B1251"/>
    <mergeCell ref="C1251:D1251"/>
    <mergeCell ref="A1252:B1252"/>
    <mergeCell ref="C1252:D1252"/>
    <mergeCell ref="C1245:D1245"/>
    <mergeCell ref="A1247:B1247"/>
    <mergeCell ref="C1247:D1247"/>
    <mergeCell ref="A1248:B1248"/>
    <mergeCell ref="C1248:D1248"/>
    <mergeCell ref="A1249:B1249"/>
    <mergeCell ref="C1249:D1249"/>
    <mergeCell ref="A1240:D1240"/>
    <mergeCell ref="A1241:D1241"/>
    <mergeCell ref="A1242:D1242"/>
    <mergeCell ref="A1243:D1243"/>
    <mergeCell ref="A1244:B1244"/>
    <mergeCell ref="C1244:D1244"/>
    <mergeCell ref="A1237:B1237"/>
    <mergeCell ref="C1237:D1237"/>
    <mergeCell ref="A1238:B1238"/>
    <mergeCell ref="C1238:D1238"/>
    <mergeCell ref="A1239:B1239"/>
    <mergeCell ref="C1239:D1239"/>
    <mergeCell ref="C1232:D1232"/>
    <mergeCell ref="A1234:B1234"/>
    <mergeCell ref="C1234:D1234"/>
    <mergeCell ref="A1235:B1235"/>
    <mergeCell ref="C1235:D1235"/>
    <mergeCell ref="A1236:B1236"/>
    <mergeCell ref="C1236:D1236"/>
    <mergeCell ref="A1226:D1226"/>
    <mergeCell ref="A1227:D1227"/>
    <mergeCell ref="A1228:D1228"/>
    <mergeCell ref="A1229:D1229"/>
    <mergeCell ref="A1230:D1230"/>
    <mergeCell ref="A1231:B1231"/>
    <mergeCell ref="C1231:D1231"/>
    <mergeCell ref="A1223:B1223"/>
    <mergeCell ref="C1223:D1223"/>
    <mergeCell ref="A1224:B1224"/>
    <mergeCell ref="C1224:D1224"/>
    <mergeCell ref="A1225:B1225"/>
    <mergeCell ref="C1225:D1225"/>
    <mergeCell ref="C1218:D1218"/>
    <mergeCell ref="A1220:B1220"/>
    <mergeCell ref="C1220:D1220"/>
    <mergeCell ref="A1221:B1221"/>
    <mergeCell ref="C1221:D1221"/>
    <mergeCell ref="A1222:B1222"/>
    <mergeCell ref="C1222:D1222"/>
    <mergeCell ref="A1213:D1213"/>
    <mergeCell ref="A1214:D1214"/>
    <mergeCell ref="A1215:D1215"/>
    <mergeCell ref="A1216:D1216"/>
    <mergeCell ref="A1217:B1217"/>
    <mergeCell ref="C1217:D1217"/>
    <mergeCell ref="A1210:B1210"/>
    <mergeCell ref="C1210:D1210"/>
    <mergeCell ref="A1211:B1211"/>
    <mergeCell ref="C1211:D1211"/>
    <mergeCell ref="A1212:B1212"/>
    <mergeCell ref="C1212:D1212"/>
    <mergeCell ref="C1205:D1205"/>
    <mergeCell ref="A1207:B1207"/>
    <mergeCell ref="C1207:D1207"/>
    <mergeCell ref="A1208:B1208"/>
    <mergeCell ref="C1208:D1208"/>
    <mergeCell ref="A1209:B1209"/>
    <mergeCell ref="C1209:D1209"/>
    <mergeCell ref="A1199:D1199"/>
    <mergeCell ref="A1200:D1200"/>
    <mergeCell ref="A1201:D1201"/>
    <mergeCell ref="A1202:D1202"/>
    <mergeCell ref="A1203:D1203"/>
    <mergeCell ref="A1204:B1204"/>
    <mergeCell ref="C1204:D1204"/>
    <mergeCell ref="A1196:B1196"/>
    <mergeCell ref="C1196:D1196"/>
    <mergeCell ref="A1197:B1197"/>
    <mergeCell ref="C1197:D1197"/>
    <mergeCell ref="A1198:B1198"/>
    <mergeCell ref="C1198:D1198"/>
    <mergeCell ref="C1191:D1191"/>
    <mergeCell ref="A1193:B1193"/>
    <mergeCell ref="C1193:D1193"/>
    <mergeCell ref="A1194:B1194"/>
    <mergeCell ref="C1194:D1194"/>
    <mergeCell ref="A1195:B1195"/>
    <mergeCell ref="C1195:D1195"/>
    <mergeCell ref="A1186:D1186"/>
    <mergeCell ref="A1187:D1187"/>
    <mergeCell ref="A1188:D1188"/>
    <mergeCell ref="A1189:D1189"/>
    <mergeCell ref="A1190:B1190"/>
    <mergeCell ref="C1190:D1190"/>
    <mergeCell ref="A1183:B1183"/>
    <mergeCell ref="C1183:D1183"/>
    <mergeCell ref="A1184:B1184"/>
    <mergeCell ref="C1184:D1184"/>
    <mergeCell ref="A1185:B1185"/>
    <mergeCell ref="C1185:D1185"/>
    <mergeCell ref="C1178:D1178"/>
    <mergeCell ref="A1180:B1180"/>
    <mergeCell ref="C1180:D1180"/>
    <mergeCell ref="A1181:B1181"/>
    <mergeCell ref="C1181:D1181"/>
    <mergeCell ref="A1182:B1182"/>
    <mergeCell ref="C1182:D1182"/>
    <mergeCell ref="A1172:D1172"/>
    <mergeCell ref="A1173:D1173"/>
    <mergeCell ref="A1174:D1174"/>
    <mergeCell ref="A1175:D1175"/>
    <mergeCell ref="A1176:D1176"/>
    <mergeCell ref="A1177:B1177"/>
    <mergeCell ref="C1177:D1177"/>
    <mergeCell ref="A1169:B1169"/>
    <mergeCell ref="C1169:D1169"/>
    <mergeCell ref="A1170:B1170"/>
    <mergeCell ref="C1170:D1170"/>
    <mergeCell ref="A1171:B1171"/>
    <mergeCell ref="C1171:D1171"/>
    <mergeCell ref="C1164:D1164"/>
    <mergeCell ref="A1166:B1166"/>
    <mergeCell ref="C1166:D1166"/>
    <mergeCell ref="A1167:B1167"/>
    <mergeCell ref="C1167:D1167"/>
    <mergeCell ref="A1168:B1168"/>
    <mergeCell ref="C1168:D1168"/>
    <mergeCell ref="A1159:D1159"/>
    <mergeCell ref="A1160:D1160"/>
    <mergeCell ref="A1161:D1161"/>
    <mergeCell ref="A1162:D1162"/>
    <mergeCell ref="A1163:B1163"/>
    <mergeCell ref="C1163:D1163"/>
    <mergeCell ref="A1156:B1156"/>
    <mergeCell ref="C1156:D1156"/>
    <mergeCell ref="A1157:B1157"/>
    <mergeCell ref="C1157:D1157"/>
    <mergeCell ref="A1158:B1158"/>
    <mergeCell ref="C1158:D1158"/>
    <mergeCell ref="C1151:D1151"/>
    <mergeCell ref="A1153:B1153"/>
    <mergeCell ref="C1153:D1153"/>
    <mergeCell ref="A1154:B1154"/>
    <mergeCell ref="C1154:D1154"/>
    <mergeCell ref="A1155:B1155"/>
    <mergeCell ref="C1155:D1155"/>
    <mergeCell ref="A1145:D1145"/>
    <mergeCell ref="A1146:D1146"/>
    <mergeCell ref="A1147:D1147"/>
    <mergeCell ref="A1148:D1148"/>
    <mergeCell ref="A1149:D1149"/>
    <mergeCell ref="A1150:B1150"/>
    <mergeCell ref="C1150:D1150"/>
    <mergeCell ref="A1142:B1142"/>
    <mergeCell ref="C1142:D1142"/>
    <mergeCell ref="A1143:B1143"/>
    <mergeCell ref="C1143:D1143"/>
    <mergeCell ref="A1144:B1144"/>
    <mergeCell ref="C1144:D1144"/>
    <mergeCell ref="C1137:D1137"/>
    <mergeCell ref="A1139:B1139"/>
    <mergeCell ref="C1139:D1139"/>
    <mergeCell ref="A1140:B1140"/>
    <mergeCell ref="C1140:D1140"/>
    <mergeCell ref="A1141:B1141"/>
    <mergeCell ref="C1141:D1141"/>
    <mergeCell ref="A1132:D1132"/>
    <mergeCell ref="A1133:D1133"/>
    <mergeCell ref="A1134:D1134"/>
    <mergeCell ref="A1135:D1135"/>
    <mergeCell ref="A1136:B1136"/>
    <mergeCell ref="C1136:D1136"/>
    <mergeCell ref="A1129:B1129"/>
    <mergeCell ref="C1129:D1129"/>
    <mergeCell ref="A1130:B1130"/>
    <mergeCell ref="C1130:D1130"/>
    <mergeCell ref="A1131:B1131"/>
    <mergeCell ref="C1131:D1131"/>
    <mergeCell ref="C1124:D1124"/>
    <mergeCell ref="A1126:B1126"/>
    <mergeCell ref="C1126:D1126"/>
    <mergeCell ref="A1127:B1127"/>
    <mergeCell ref="C1127:D1127"/>
    <mergeCell ref="A1128:B1128"/>
    <mergeCell ref="C1128:D1128"/>
    <mergeCell ref="A1118:D1118"/>
    <mergeCell ref="A1119:D1119"/>
    <mergeCell ref="A1120:D1120"/>
    <mergeCell ref="A1121:D1121"/>
    <mergeCell ref="A1122:D1122"/>
    <mergeCell ref="A1123:B1123"/>
    <mergeCell ref="C1123:D1123"/>
    <mergeCell ref="A1115:B1115"/>
    <mergeCell ref="C1115:D1115"/>
    <mergeCell ref="A1116:B1116"/>
    <mergeCell ref="C1116:D1116"/>
    <mergeCell ref="A1117:B1117"/>
    <mergeCell ref="C1117:D1117"/>
    <mergeCell ref="C1110:D1110"/>
    <mergeCell ref="A1112:B1112"/>
    <mergeCell ref="C1112:D1112"/>
    <mergeCell ref="A1113:B1113"/>
    <mergeCell ref="C1113:D1113"/>
    <mergeCell ref="A1114:B1114"/>
    <mergeCell ref="C1114:D1114"/>
    <mergeCell ref="A1105:D1105"/>
    <mergeCell ref="A1106:D1106"/>
    <mergeCell ref="A1107:D1107"/>
    <mergeCell ref="A1108:D1108"/>
    <mergeCell ref="A1109:B1109"/>
    <mergeCell ref="C1109:D1109"/>
    <mergeCell ref="A1102:B1102"/>
    <mergeCell ref="C1102:D1102"/>
    <mergeCell ref="A1103:B1103"/>
    <mergeCell ref="C1103:D1103"/>
    <mergeCell ref="A1104:B1104"/>
    <mergeCell ref="C1104:D1104"/>
    <mergeCell ref="C1097:D1097"/>
    <mergeCell ref="A1099:B1099"/>
    <mergeCell ref="C1099:D1099"/>
    <mergeCell ref="A1100:B1100"/>
    <mergeCell ref="C1100:D1100"/>
    <mergeCell ref="A1101:B1101"/>
    <mergeCell ref="C1101:D1101"/>
    <mergeCell ref="A1091:D1091"/>
    <mergeCell ref="A1092:D1092"/>
    <mergeCell ref="A1093:D1093"/>
    <mergeCell ref="A1094:D1094"/>
    <mergeCell ref="A1095:D1095"/>
    <mergeCell ref="A1096:B1096"/>
    <mergeCell ref="C1096:D1096"/>
    <mergeCell ref="A1088:B1088"/>
    <mergeCell ref="C1088:D1088"/>
    <mergeCell ref="A1089:B1089"/>
    <mergeCell ref="C1089:D1089"/>
    <mergeCell ref="A1090:B1090"/>
    <mergeCell ref="C1090:D1090"/>
    <mergeCell ref="C1083:D1083"/>
    <mergeCell ref="A1085:B1085"/>
    <mergeCell ref="C1085:D1085"/>
    <mergeCell ref="A1086:B1086"/>
    <mergeCell ref="C1086:D1086"/>
    <mergeCell ref="A1087:B1087"/>
    <mergeCell ref="C1087:D1087"/>
    <mergeCell ref="A1078:D1078"/>
    <mergeCell ref="A1079:D1079"/>
    <mergeCell ref="A1080:D1080"/>
    <mergeCell ref="A1081:D1081"/>
    <mergeCell ref="A1082:B1082"/>
    <mergeCell ref="C1082:D1082"/>
    <mergeCell ref="A1075:B1075"/>
    <mergeCell ref="C1075:D1075"/>
    <mergeCell ref="A1076:B1076"/>
    <mergeCell ref="C1076:D1076"/>
    <mergeCell ref="A1077:B1077"/>
    <mergeCell ref="C1077:D1077"/>
    <mergeCell ref="C1070:D1070"/>
    <mergeCell ref="A1072:B1072"/>
    <mergeCell ref="C1072:D1072"/>
    <mergeCell ref="A1073:B1073"/>
    <mergeCell ref="C1073:D1073"/>
    <mergeCell ref="A1074:B1074"/>
    <mergeCell ref="C1074:D1074"/>
    <mergeCell ref="A1064:D1064"/>
    <mergeCell ref="A1065:D1065"/>
    <mergeCell ref="A1066:D1066"/>
    <mergeCell ref="A1067:D1067"/>
    <mergeCell ref="A1068:D1068"/>
    <mergeCell ref="A1069:B1069"/>
    <mergeCell ref="C1069:D1069"/>
    <mergeCell ref="A1061:B1061"/>
    <mergeCell ref="C1061:D1061"/>
    <mergeCell ref="A1062:B1062"/>
    <mergeCell ref="C1062:D1062"/>
    <mergeCell ref="A1063:B1063"/>
    <mergeCell ref="C1063:D1063"/>
    <mergeCell ref="C1056:D1056"/>
    <mergeCell ref="A1058:B1058"/>
    <mergeCell ref="C1058:D1058"/>
    <mergeCell ref="A1059:B1059"/>
    <mergeCell ref="C1059:D1059"/>
    <mergeCell ref="A1060:B1060"/>
    <mergeCell ref="C1060:D1060"/>
    <mergeCell ref="A1051:D1051"/>
    <mergeCell ref="A1052:D1052"/>
    <mergeCell ref="A1053:D1053"/>
    <mergeCell ref="A1054:D1054"/>
    <mergeCell ref="A1055:B1055"/>
    <mergeCell ref="C1055:D1055"/>
    <mergeCell ref="A1048:B1048"/>
    <mergeCell ref="C1048:D1048"/>
    <mergeCell ref="A1049:B1049"/>
    <mergeCell ref="C1049:D1049"/>
    <mergeCell ref="A1050:B1050"/>
    <mergeCell ref="C1050:D1050"/>
    <mergeCell ref="C1043:D1043"/>
    <mergeCell ref="A1045:B1045"/>
    <mergeCell ref="C1045:D1045"/>
    <mergeCell ref="A1046:B1046"/>
    <mergeCell ref="C1046:D1046"/>
    <mergeCell ref="A1047:B1047"/>
    <mergeCell ref="C1047:D1047"/>
    <mergeCell ref="A1037:D1037"/>
    <mergeCell ref="A1038:D1038"/>
    <mergeCell ref="A1039:D1039"/>
    <mergeCell ref="A1040:D1040"/>
    <mergeCell ref="A1041:D1041"/>
    <mergeCell ref="A1042:B1042"/>
    <mergeCell ref="C1042:D1042"/>
    <mergeCell ref="A1034:B1034"/>
    <mergeCell ref="C1034:D1034"/>
    <mergeCell ref="A1035:B1035"/>
    <mergeCell ref="C1035:D1035"/>
    <mergeCell ref="A1036:B1036"/>
    <mergeCell ref="C1036:D1036"/>
    <mergeCell ref="C1029:D1029"/>
    <mergeCell ref="A1031:B1031"/>
    <mergeCell ref="C1031:D1031"/>
    <mergeCell ref="A1032:B1032"/>
    <mergeCell ref="C1032:D1032"/>
    <mergeCell ref="A1033:B1033"/>
    <mergeCell ref="C1033:D1033"/>
    <mergeCell ref="A1024:D1024"/>
    <mergeCell ref="A1025:D1025"/>
    <mergeCell ref="A1026:D1026"/>
    <mergeCell ref="A1027:D1027"/>
    <mergeCell ref="A1028:B1028"/>
    <mergeCell ref="C1028:D1028"/>
    <mergeCell ref="A1021:B1021"/>
    <mergeCell ref="C1021:D1021"/>
    <mergeCell ref="A1022:B1022"/>
    <mergeCell ref="C1022:D1022"/>
    <mergeCell ref="A1023:B1023"/>
    <mergeCell ref="C1023:D1023"/>
    <mergeCell ref="C1016:D1016"/>
    <mergeCell ref="A1018:B1018"/>
    <mergeCell ref="C1018:D1018"/>
    <mergeCell ref="A1019:B1019"/>
    <mergeCell ref="C1019:D1019"/>
    <mergeCell ref="A1020:B1020"/>
    <mergeCell ref="C1020:D1020"/>
    <mergeCell ref="A1010:D1010"/>
    <mergeCell ref="A1011:D1011"/>
    <mergeCell ref="A1012:D1012"/>
    <mergeCell ref="A1013:D1013"/>
    <mergeCell ref="A1014:D1014"/>
    <mergeCell ref="A1015:B1015"/>
    <mergeCell ref="C1015:D1015"/>
    <mergeCell ref="A1007:B1007"/>
    <mergeCell ref="C1007:D1007"/>
    <mergeCell ref="A1008:B1008"/>
    <mergeCell ref="C1008:D1008"/>
    <mergeCell ref="A1009:B1009"/>
    <mergeCell ref="C1009:D1009"/>
    <mergeCell ref="C1002:D1002"/>
    <mergeCell ref="A1004:B1004"/>
    <mergeCell ref="C1004:D1004"/>
    <mergeCell ref="A1005:B1005"/>
    <mergeCell ref="C1005:D1005"/>
    <mergeCell ref="A1006:B1006"/>
    <mergeCell ref="C1006:D1006"/>
    <mergeCell ref="A997:D997"/>
    <mergeCell ref="A998:D998"/>
    <mergeCell ref="A999:D999"/>
    <mergeCell ref="A1000:D1000"/>
    <mergeCell ref="A1001:B1001"/>
    <mergeCell ref="C1001:D1001"/>
    <mergeCell ref="A994:B994"/>
    <mergeCell ref="C994:D994"/>
    <mergeCell ref="A995:B995"/>
    <mergeCell ref="C995:D995"/>
    <mergeCell ref="A996:B996"/>
    <mergeCell ref="C996:D996"/>
    <mergeCell ref="C989:D989"/>
    <mergeCell ref="A991:B991"/>
    <mergeCell ref="C991:D991"/>
    <mergeCell ref="A992:B992"/>
    <mergeCell ref="C992:D992"/>
    <mergeCell ref="A993:B993"/>
    <mergeCell ref="C993:D993"/>
    <mergeCell ref="A983:D983"/>
    <mergeCell ref="A984:D984"/>
    <mergeCell ref="A985:D985"/>
    <mergeCell ref="A986:D986"/>
    <mergeCell ref="A987:D987"/>
    <mergeCell ref="A988:B988"/>
    <mergeCell ref="C988:D988"/>
    <mergeCell ref="A980:B980"/>
    <mergeCell ref="C980:D980"/>
    <mergeCell ref="A981:B981"/>
    <mergeCell ref="C981:D981"/>
    <mergeCell ref="A982:B982"/>
    <mergeCell ref="C982:D982"/>
    <mergeCell ref="C975:D975"/>
    <mergeCell ref="A977:B977"/>
    <mergeCell ref="C977:D977"/>
    <mergeCell ref="A978:B978"/>
    <mergeCell ref="C978:D978"/>
    <mergeCell ref="A979:B979"/>
    <mergeCell ref="C979:D979"/>
    <mergeCell ref="A970:D970"/>
    <mergeCell ref="A971:D971"/>
    <mergeCell ref="A972:D972"/>
    <mergeCell ref="A973:D973"/>
    <mergeCell ref="A974:B974"/>
    <mergeCell ref="C974:D974"/>
    <mergeCell ref="A967:B967"/>
    <mergeCell ref="C967:D967"/>
    <mergeCell ref="A968:B968"/>
    <mergeCell ref="C968:D968"/>
    <mergeCell ref="A969:B969"/>
    <mergeCell ref="C969:D969"/>
    <mergeCell ref="C962:D962"/>
    <mergeCell ref="A964:B964"/>
    <mergeCell ref="C964:D964"/>
    <mergeCell ref="A965:B965"/>
    <mergeCell ref="C965:D965"/>
    <mergeCell ref="A966:B966"/>
    <mergeCell ref="C966:D966"/>
    <mergeCell ref="A956:D956"/>
    <mergeCell ref="A957:D957"/>
    <mergeCell ref="A958:D958"/>
    <mergeCell ref="A959:D959"/>
    <mergeCell ref="A960:D960"/>
    <mergeCell ref="A961:B961"/>
    <mergeCell ref="C961:D961"/>
    <mergeCell ref="A953:B953"/>
    <mergeCell ref="C953:D953"/>
    <mergeCell ref="A954:B954"/>
    <mergeCell ref="C954:D954"/>
    <mergeCell ref="A955:B955"/>
    <mergeCell ref="C955:D955"/>
    <mergeCell ref="C948:D948"/>
    <mergeCell ref="A950:B950"/>
    <mergeCell ref="C950:D950"/>
    <mergeCell ref="A951:B951"/>
    <mergeCell ref="C951:D951"/>
    <mergeCell ref="A952:B952"/>
    <mergeCell ref="C952:D952"/>
    <mergeCell ref="A943:D943"/>
    <mergeCell ref="A944:D944"/>
    <mergeCell ref="A945:D945"/>
    <mergeCell ref="A946:D946"/>
    <mergeCell ref="A947:B947"/>
    <mergeCell ref="C947:D947"/>
    <mergeCell ref="A940:B940"/>
    <mergeCell ref="C940:D940"/>
    <mergeCell ref="A941:B941"/>
    <mergeCell ref="C941:D941"/>
    <mergeCell ref="A942:B942"/>
    <mergeCell ref="C942:D942"/>
    <mergeCell ref="C935:D935"/>
    <mergeCell ref="A937:B937"/>
    <mergeCell ref="C937:D937"/>
    <mergeCell ref="A938:B938"/>
    <mergeCell ref="C938:D938"/>
    <mergeCell ref="A939:B939"/>
    <mergeCell ref="C939:D939"/>
    <mergeCell ref="A929:D929"/>
    <mergeCell ref="A930:D930"/>
    <mergeCell ref="A931:D931"/>
    <mergeCell ref="A932:D932"/>
    <mergeCell ref="A933:D933"/>
    <mergeCell ref="A934:B934"/>
    <mergeCell ref="C934:D934"/>
    <mergeCell ref="A926:B926"/>
    <mergeCell ref="C926:D926"/>
    <mergeCell ref="A927:B927"/>
    <mergeCell ref="C927:D927"/>
    <mergeCell ref="A928:B928"/>
    <mergeCell ref="C928:D928"/>
    <mergeCell ref="C921:D921"/>
    <mergeCell ref="A923:B923"/>
    <mergeCell ref="C923:D923"/>
    <mergeCell ref="A924:B924"/>
    <mergeCell ref="C924:D924"/>
    <mergeCell ref="A925:B925"/>
    <mergeCell ref="C925:D925"/>
    <mergeCell ref="A916:D916"/>
    <mergeCell ref="A917:D917"/>
    <mergeCell ref="A918:D918"/>
    <mergeCell ref="A919:D919"/>
    <mergeCell ref="A920:B920"/>
    <mergeCell ref="C920:D920"/>
    <mergeCell ref="A913:B913"/>
    <mergeCell ref="C913:D913"/>
    <mergeCell ref="A914:B914"/>
    <mergeCell ref="C914:D914"/>
    <mergeCell ref="A915:B915"/>
    <mergeCell ref="C915:D915"/>
    <mergeCell ref="C908:D908"/>
    <mergeCell ref="A910:B910"/>
    <mergeCell ref="C910:D910"/>
    <mergeCell ref="A911:B911"/>
    <mergeCell ref="C911:D911"/>
    <mergeCell ref="A912:B912"/>
    <mergeCell ref="C912:D912"/>
    <mergeCell ref="A902:D902"/>
    <mergeCell ref="A903:D903"/>
    <mergeCell ref="A904:D904"/>
    <mergeCell ref="A905:D905"/>
    <mergeCell ref="A906:D906"/>
    <mergeCell ref="A907:B907"/>
    <mergeCell ref="C907:D907"/>
    <mergeCell ref="A899:B899"/>
    <mergeCell ref="C899:D899"/>
    <mergeCell ref="A900:B900"/>
    <mergeCell ref="C900:D900"/>
    <mergeCell ref="A901:B901"/>
    <mergeCell ref="C901:D901"/>
    <mergeCell ref="C894:D894"/>
    <mergeCell ref="A896:B896"/>
    <mergeCell ref="C896:D896"/>
    <mergeCell ref="A897:B897"/>
    <mergeCell ref="C897:D897"/>
    <mergeCell ref="A898:B898"/>
    <mergeCell ref="C898:D898"/>
    <mergeCell ref="A889:D889"/>
    <mergeCell ref="A890:D890"/>
    <mergeCell ref="A891:D891"/>
    <mergeCell ref="A892:D892"/>
    <mergeCell ref="A893:B893"/>
    <mergeCell ref="C893:D893"/>
    <mergeCell ref="A886:B886"/>
    <mergeCell ref="C886:D886"/>
    <mergeCell ref="A887:B887"/>
    <mergeCell ref="C887:D887"/>
    <mergeCell ref="A888:B888"/>
    <mergeCell ref="C888:D888"/>
    <mergeCell ref="C881:D881"/>
    <mergeCell ref="A883:B883"/>
    <mergeCell ref="C883:D883"/>
    <mergeCell ref="A884:B884"/>
    <mergeCell ref="C884:D884"/>
    <mergeCell ref="A885:B885"/>
    <mergeCell ref="C885:D885"/>
    <mergeCell ref="A875:D875"/>
    <mergeCell ref="A876:D876"/>
    <mergeCell ref="A877:D877"/>
    <mergeCell ref="A878:D878"/>
    <mergeCell ref="A879:D879"/>
    <mergeCell ref="A880:B880"/>
    <mergeCell ref="C880:D880"/>
    <mergeCell ref="A872:B872"/>
    <mergeCell ref="C872:D872"/>
    <mergeCell ref="A873:B873"/>
    <mergeCell ref="C873:D873"/>
    <mergeCell ref="A874:B874"/>
    <mergeCell ref="C874:D874"/>
    <mergeCell ref="C867:D867"/>
    <mergeCell ref="A869:B869"/>
    <mergeCell ref="C869:D869"/>
    <mergeCell ref="A870:B870"/>
    <mergeCell ref="C870:D870"/>
    <mergeCell ref="A871:B871"/>
    <mergeCell ref="C871:D871"/>
    <mergeCell ref="A862:D862"/>
    <mergeCell ref="A863:D863"/>
    <mergeCell ref="A864:D864"/>
    <mergeCell ref="A865:D865"/>
    <mergeCell ref="A866:B866"/>
    <mergeCell ref="C866:D866"/>
    <mergeCell ref="A859:B859"/>
    <mergeCell ref="C859:D859"/>
    <mergeCell ref="A860:B860"/>
    <mergeCell ref="C860:D860"/>
    <mergeCell ref="A861:B861"/>
    <mergeCell ref="C861:D861"/>
    <mergeCell ref="A856:B856"/>
    <mergeCell ref="C856:D856"/>
    <mergeCell ref="A857:B857"/>
    <mergeCell ref="C857:D857"/>
    <mergeCell ref="A858:B858"/>
    <mergeCell ref="C858:D858"/>
    <mergeCell ref="A850:D850"/>
    <mergeCell ref="A851:D851"/>
    <mergeCell ref="A852:D852"/>
    <mergeCell ref="A853:B853"/>
    <mergeCell ref="C853:D853"/>
    <mergeCell ref="C854:D854"/>
    <mergeCell ref="A846:B846"/>
    <mergeCell ref="C846:D846"/>
    <mergeCell ref="A847:B847"/>
    <mergeCell ref="C847:D847"/>
    <mergeCell ref="A848:D848"/>
    <mergeCell ref="A849:D849"/>
    <mergeCell ref="A843:B843"/>
    <mergeCell ref="C843:D843"/>
    <mergeCell ref="A844:B844"/>
    <mergeCell ref="C844:D844"/>
    <mergeCell ref="A845:B845"/>
    <mergeCell ref="C845:D845"/>
    <mergeCell ref="A837:D837"/>
    <mergeCell ref="A838:D838"/>
    <mergeCell ref="A839:B839"/>
    <mergeCell ref="C839:D839"/>
    <mergeCell ref="C840:D840"/>
    <mergeCell ref="A842:B842"/>
    <mergeCell ref="C842:D842"/>
    <mergeCell ref="A833:B833"/>
    <mergeCell ref="C833:D833"/>
    <mergeCell ref="A834:B834"/>
    <mergeCell ref="C834:D834"/>
    <mergeCell ref="A835:D835"/>
    <mergeCell ref="A836:D836"/>
    <mergeCell ref="A830:B830"/>
    <mergeCell ref="C830:D830"/>
    <mergeCell ref="A831:B831"/>
    <mergeCell ref="C831:D831"/>
    <mergeCell ref="A832:B832"/>
    <mergeCell ref="C832:D832"/>
    <mergeCell ref="A825:D825"/>
    <mergeCell ref="A826:B826"/>
    <mergeCell ref="C826:D826"/>
    <mergeCell ref="C827:D827"/>
    <mergeCell ref="A829:B829"/>
    <mergeCell ref="C829:D829"/>
    <mergeCell ref="A820:B820"/>
    <mergeCell ref="C820:D820"/>
    <mergeCell ref="A821:D821"/>
    <mergeCell ref="A822:D822"/>
    <mergeCell ref="A823:D823"/>
    <mergeCell ref="A824:D824"/>
    <mergeCell ref="A817:B817"/>
    <mergeCell ref="C817:D817"/>
    <mergeCell ref="A818:B818"/>
    <mergeCell ref="C818:D818"/>
    <mergeCell ref="A819:B819"/>
    <mergeCell ref="C819:D819"/>
    <mergeCell ref="C813:D813"/>
    <mergeCell ref="B814:C814"/>
    <mergeCell ref="A815:B815"/>
    <mergeCell ref="C815:D815"/>
    <mergeCell ref="A816:B816"/>
    <mergeCell ref="C816:D816"/>
    <mergeCell ref="A808:D808"/>
    <mergeCell ref="A809:D809"/>
    <mergeCell ref="A810:D810"/>
    <mergeCell ref="A811:D811"/>
    <mergeCell ref="A812:B812"/>
    <mergeCell ref="C812:D812"/>
    <mergeCell ref="A805:B805"/>
    <mergeCell ref="C805:D805"/>
    <mergeCell ref="A806:B806"/>
    <mergeCell ref="C806:D806"/>
    <mergeCell ref="A807:B807"/>
    <mergeCell ref="C807:D807"/>
    <mergeCell ref="C800:D800"/>
    <mergeCell ref="A802:B802"/>
    <mergeCell ref="C802:D802"/>
    <mergeCell ref="A803:B803"/>
    <mergeCell ref="C803:D803"/>
    <mergeCell ref="A804:B804"/>
    <mergeCell ref="C804:D804"/>
    <mergeCell ref="A794:D794"/>
    <mergeCell ref="A795:D795"/>
    <mergeCell ref="A796:D796"/>
    <mergeCell ref="A797:D797"/>
    <mergeCell ref="A798:D798"/>
    <mergeCell ref="A799:B799"/>
    <mergeCell ref="C799:D799"/>
    <mergeCell ref="A791:B791"/>
    <mergeCell ref="C791:D791"/>
    <mergeCell ref="A792:B792"/>
    <mergeCell ref="C792:D792"/>
    <mergeCell ref="A793:B793"/>
    <mergeCell ref="C793:D793"/>
    <mergeCell ref="C786:D786"/>
    <mergeCell ref="A788:B788"/>
    <mergeCell ref="C788:D788"/>
    <mergeCell ref="A789:B789"/>
    <mergeCell ref="C789:D789"/>
    <mergeCell ref="A790:B790"/>
    <mergeCell ref="C790:D790"/>
    <mergeCell ref="A781:D781"/>
    <mergeCell ref="A782:D782"/>
    <mergeCell ref="A783:D783"/>
    <mergeCell ref="A784:D784"/>
    <mergeCell ref="A785:B785"/>
    <mergeCell ref="C785:D785"/>
    <mergeCell ref="A778:B778"/>
    <mergeCell ref="C778:D778"/>
    <mergeCell ref="A779:B779"/>
    <mergeCell ref="C779:D779"/>
    <mergeCell ref="A780:B780"/>
    <mergeCell ref="C780:D780"/>
    <mergeCell ref="C773:D773"/>
    <mergeCell ref="A775:B775"/>
    <mergeCell ref="C775:D775"/>
    <mergeCell ref="A776:B776"/>
    <mergeCell ref="C776:D776"/>
    <mergeCell ref="A777:B777"/>
    <mergeCell ref="C777:D777"/>
    <mergeCell ref="A767:D767"/>
    <mergeCell ref="A768:D768"/>
    <mergeCell ref="A769:D769"/>
    <mergeCell ref="A770:D770"/>
    <mergeCell ref="A771:D771"/>
    <mergeCell ref="A772:B772"/>
    <mergeCell ref="C772:D772"/>
    <mergeCell ref="A764:B764"/>
    <mergeCell ref="C764:D764"/>
    <mergeCell ref="A765:B765"/>
    <mergeCell ref="C765:D765"/>
    <mergeCell ref="A766:B766"/>
    <mergeCell ref="C766:D766"/>
    <mergeCell ref="C759:D759"/>
    <mergeCell ref="A761:B761"/>
    <mergeCell ref="C761:D761"/>
    <mergeCell ref="A762:B762"/>
    <mergeCell ref="C762:D762"/>
    <mergeCell ref="A763:B763"/>
    <mergeCell ref="C763:D763"/>
    <mergeCell ref="A754:D754"/>
    <mergeCell ref="A755:D755"/>
    <mergeCell ref="A756:D756"/>
    <mergeCell ref="A757:D757"/>
    <mergeCell ref="A758:B758"/>
    <mergeCell ref="C758:D758"/>
    <mergeCell ref="A751:B751"/>
    <mergeCell ref="C751:D751"/>
    <mergeCell ref="A752:B752"/>
    <mergeCell ref="C752:D752"/>
    <mergeCell ref="A753:B753"/>
    <mergeCell ref="C753:D753"/>
    <mergeCell ref="C746:D746"/>
    <mergeCell ref="A748:B748"/>
    <mergeCell ref="C748:D748"/>
    <mergeCell ref="A749:B749"/>
    <mergeCell ref="C749:D749"/>
    <mergeCell ref="A750:B750"/>
    <mergeCell ref="C750:D750"/>
    <mergeCell ref="A740:D740"/>
    <mergeCell ref="A741:D741"/>
    <mergeCell ref="A742:D742"/>
    <mergeCell ref="A743:D743"/>
    <mergeCell ref="A744:D744"/>
    <mergeCell ref="A745:B745"/>
    <mergeCell ref="C745:D745"/>
    <mergeCell ref="A737:B737"/>
    <mergeCell ref="C737:D737"/>
    <mergeCell ref="A738:B738"/>
    <mergeCell ref="C738:D738"/>
    <mergeCell ref="A739:B739"/>
    <mergeCell ref="C739:D739"/>
    <mergeCell ref="C732:D732"/>
    <mergeCell ref="A734:B734"/>
    <mergeCell ref="C734:D734"/>
    <mergeCell ref="A735:B735"/>
    <mergeCell ref="C735:D735"/>
    <mergeCell ref="A736:B736"/>
    <mergeCell ref="C736:D736"/>
    <mergeCell ref="A727:D727"/>
    <mergeCell ref="A728:D728"/>
    <mergeCell ref="A729:D729"/>
    <mergeCell ref="A730:D730"/>
    <mergeCell ref="A731:B731"/>
    <mergeCell ref="C731:D731"/>
    <mergeCell ref="A724:B724"/>
    <mergeCell ref="C724:D724"/>
    <mergeCell ref="A725:B725"/>
    <mergeCell ref="C725:D725"/>
    <mergeCell ref="A726:B726"/>
    <mergeCell ref="C726:D726"/>
    <mergeCell ref="C719:D719"/>
    <mergeCell ref="A721:B721"/>
    <mergeCell ref="C721:D721"/>
    <mergeCell ref="A722:B722"/>
    <mergeCell ref="C722:D722"/>
    <mergeCell ref="A723:B723"/>
    <mergeCell ref="C723:D723"/>
    <mergeCell ref="A713:D713"/>
    <mergeCell ref="A714:D714"/>
    <mergeCell ref="A715:D715"/>
    <mergeCell ref="A716:D716"/>
    <mergeCell ref="A717:D717"/>
    <mergeCell ref="A718:B718"/>
    <mergeCell ref="C718:D718"/>
    <mergeCell ref="A710:B710"/>
    <mergeCell ref="C710:D710"/>
    <mergeCell ref="A711:B711"/>
    <mergeCell ref="C711:D711"/>
    <mergeCell ref="A712:B712"/>
    <mergeCell ref="C712:D712"/>
    <mergeCell ref="C705:D705"/>
    <mergeCell ref="A707:B707"/>
    <mergeCell ref="C707:D707"/>
    <mergeCell ref="A708:B708"/>
    <mergeCell ref="C708:D708"/>
    <mergeCell ref="A709:B709"/>
    <mergeCell ref="C709:D709"/>
    <mergeCell ref="A700:D700"/>
    <mergeCell ref="A701:D701"/>
    <mergeCell ref="A702:D702"/>
    <mergeCell ref="A703:D703"/>
    <mergeCell ref="A704:B704"/>
    <mergeCell ref="C704:D704"/>
    <mergeCell ref="A697:B697"/>
    <mergeCell ref="C697:D697"/>
    <mergeCell ref="A698:B698"/>
    <mergeCell ref="C698:D698"/>
    <mergeCell ref="A699:B699"/>
    <mergeCell ref="C699:D699"/>
    <mergeCell ref="C692:D692"/>
    <mergeCell ref="A694:B694"/>
    <mergeCell ref="C694:D694"/>
    <mergeCell ref="A695:B695"/>
    <mergeCell ref="C695:D695"/>
    <mergeCell ref="A696:B696"/>
    <mergeCell ref="C696:D696"/>
    <mergeCell ref="A686:D686"/>
    <mergeCell ref="A687:D687"/>
    <mergeCell ref="A688:D688"/>
    <mergeCell ref="A689:D689"/>
    <mergeCell ref="A690:D690"/>
    <mergeCell ref="A691:B691"/>
    <mergeCell ref="C691:D691"/>
    <mergeCell ref="A683:B683"/>
    <mergeCell ref="C683:D683"/>
    <mergeCell ref="A684:B684"/>
    <mergeCell ref="C684:D684"/>
    <mergeCell ref="A685:B685"/>
    <mergeCell ref="C685:D685"/>
    <mergeCell ref="C678:D678"/>
    <mergeCell ref="A680:B680"/>
    <mergeCell ref="C680:D680"/>
    <mergeCell ref="A681:B681"/>
    <mergeCell ref="C681:D681"/>
    <mergeCell ref="A682:B682"/>
    <mergeCell ref="C682:D682"/>
    <mergeCell ref="A673:D673"/>
    <mergeCell ref="A674:D674"/>
    <mergeCell ref="A675:D675"/>
    <mergeCell ref="A676:D676"/>
    <mergeCell ref="A677:B677"/>
    <mergeCell ref="C677:D677"/>
    <mergeCell ref="A670:B670"/>
    <mergeCell ref="C670:D670"/>
    <mergeCell ref="A671:B671"/>
    <mergeCell ref="C671:D671"/>
    <mergeCell ref="A672:B672"/>
    <mergeCell ref="C672:D672"/>
    <mergeCell ref="C665:D665"/>
    <mergeCell ref="A667:B667"/>
    <mergeCell ref="C667:D667"/>
    <mergeCell ref="A668:B668"/>
    <mergeCell ref="C668:D668"/>
    <mergeCell ref="A669:B669"/>
    <mergeCell ref="C669:D669"/>
    <mergeCell ref="A659:D659"/>
    <mergeCell ref="A660:D660"/>
    <mergeCell ref="A661:D661"/>
    <mergeCell ref="A662:D662"/>
    <mergeCell ref="A663:D663"/>
    <mergeCell ref="A664:B664"/>
    <mergeCell ref="C664:D664"/>
    <mergeCell ref="A656:B656"/>
    <mergeCell ref="C656:D656"/>
    <mergeCell ref="A657:B657"/>
    <mergeCell ref="C657:D657"/>
    <mergeCell ref="A658:B658"/>
    <mergeCell ref="C658:D658"/>
    <mergeCell ref="C651:D651"/>
    <mergeCell ref="A653:B653"/>
    <mergeCell ref="C653:D653"/>
    <mergeCell ref="A654:B654"/>
    <mergeCell ref="C654:D654"/>
    <mergeCell ref="A655:B655"/>
    <mergeCell ref="C655:D655"/>
    <mergeCell ref="A646:D646"/>
    <mergeCell ref="A647:D647"/>
    <mergeCell ref="A648:D648"/>
    <mergeCell ref="A649:D649"/>
    <mergeCell ref="A650:B650"/>
    <mergeCell ref="C650:D650"/>
    <mergeCell ref="A643:B643"/>
    <mergeCell ref="C643:D643"/>
    <mergeCell ref="A644:B644"/>
    <mergeCell ref="C644:D644"/>
    <mergeCell ref="A645:B645"/>
    <mergeCell ref="C645:D645"/>
    <mergeCell ref="C638:D638"/>
    <mergeCell ref="A640:B640"/>
    <mergeCell ref="C640:D640"/>
    <mergeCell ref="A641:B641"/>
    <mergeCell ref="C641:D641"/>
    <mergeCell ref="A642:B642"/>
    <mergeCell ref="C642:D642"/>
    <mergeCell ref="A632:D632"/>
    <mergeCell ref="A633:D633"/>
    <mergeCell ref="A634:D634"/>
    <mergeCell ref="A635:D635"/>
    <mergeCell ref="A636:D636"/>
    <mergeCell ref="A637:B637"/>
    <mergeCell ref="C637:D637"/>
    <mergeCell ref="A629:B629"/>
    <mergeCell ref="C629:D629"/>
    <mergeCell ref="A630:B630"/>
    <mergeCell ref="C630:D630"/>
    <mergeCell ref="A631:B631"/>
    <mergeCell ref="C631:D631"/>
    <mergeCell ref="C624:D624"/>
    <mergeCell ref="A626:B626"/>
    <mergeCell ref="C626:D626"/>
    <mergeCell ref="A627:B627"/>
    <mergeCell ref="C627:D627"/>
    <mergeCell ref="A628:B628"/>
    <mergeCell ref="C628:D628"/>
    <mergeCell ref="A619:D619"/>
    <mergeCell ref="A620:D620"/>
    <mergeCell ref="A621:D621"/>
    <mergeCell ref="A622:D622"/>
    <mergeCell ref="A623:B623"/>
    <mergeCell ref="C623:D623"/>
    <mergeCell ref="A616:B616"/>
    <mergeCell ref="C616:D616"/>
    <mergeCell ref="A617:B617"/>
    <mergeCell ref="C617:D617"/>
    <mergeCell ref="A618:B618"/>
    <mergeCell ref="C618:D618"/>
    <mergeCell ref="C611:D611"/>
    <mergeCell ref="A613:B613"/>
    <mergeCell ref="C613:D613"/>
    <mergeCell ref="A614:B614"/>
    <mergeCell ref="C614:D614"/>
    <mergeCell ref="A615:B615"/>
    <mergeCell ref="C615:D615"/>
    <mergeCell ref="A605:D605"/>
    <mergeCell ref="A606:D606"/>
    <mergeCell ref="A607:D607"/>
    <mergeCell ref="A608:D608"/>
    <mergeCell ref="A609:D609"/>
    <mergeCell ref="A610:B610"/>
    <mergeCell ref="C610:D610"/>
    <mergeCell ref="A602:B602"/>
    <mergeCell ref="C602:D602"/>
    <mergeCell ref="A603:B603"/>
    <mergeCell ref="C603:D603"/>
    <mergeCell ref="A604:B604"/>
    <mergeCell ref="C604:D604"/>
    <mergeCell ref="C597:D597"/>
    <mergeCell ref="A599:B599"/>
    <mergeCell ref="C599:D599"/>
    <mergeCell ref="A600:B600"/>
    <mergeCell ref="C600:D600"/>
    <mergeCell ref="A601:B601"/>
    <mergeCell ref="C601:D601"/>
    <mergeCell ref="A592:D592"/>
    <mergeCell ref="A593:D593"/>
    <mergeCell ref="A594:D594"/>
    <mergeCell ref="A595:D595"/>
    <mergeCell ref="A596:B596"/>
    <mergeCell ref="C596:D596"/>
    <mergeCell ref="A589:B589"/>
    <mergeCell ref="C589:D589"/>
    <mergeCell ref="A590:B590"/>
    <mergeCell ref="C590:D590"/>
    <mergeCell ref="A591:B591"/>
    <mergeCell ref="C591:D591"/>
    <mergeCell ref="C584:D584"/>
    <mergeCell ref="A586:B586"/>
    <mergeCell ref="C586:D586"/>
    <mergeCell ref="A587:B587"/>
    <mergeCell ref="C587:D587"/>
    <mergeCell ref="A588:B588"/>
    <mergeCell ref="C588:D588"/>
    <mergeCell ref="A578:D578"/>
    <mergeCell ref="A579:D579"/>
    <mergeCell ref="A580:D580"/>
    <mergeCell ref="A581:D581"/>
    <mergeCell ref="A582:D582"/>
    <mergeCell ref="A583:B583"/>
    <mergeCell ref="C583:D583"/>
    <mergeCell ref="A575:B575"/>
    <mergeCell ref="C575:D575"/>
    <mergeCell ref="A576:B576"/>
    <mergeCell ref="C576:D576"/>
    <mergeCell ref="A577:B577"/>
    <mergeCell ref="C577:D577"/>
    <mergeCell ref="C570:D570"/>
    <mergeCell ref="A572:B572"/>
    <mergeCell ref="C572:D572"/>
    <mergeCell ref="A573:B573"/>
    <mergeCell ref="C573:D573"/>
    <mergeCell ref="A574:B574"/>
    <mergeCell ref="C574:D574"/>
    <mergeCell ref="A565:D565"/>
    <mergeCell ref="A566:D566"/>
    <mergeCell ref="A567:D567"/>
    <mergeCell ref="A568:D568"/>
    <mergeCell ref="A569:B569"/>
    <mergeCell ref="C569:D569"/>
    <mergeCell ref="A562:B562"/>
    <mergeCell ref="C562:D562"/>
    <mergeCell ref="A563:B563"/>
    <mergeCell ref="C563:D563"/>
    <mergeCell ref="A564:B564"/>
    <mergeCell ref="C564:D564"/>
    <mergeCell ref="C557:D557"/>
    <mergeCell ref="A559:B559"/>
    <mergeCell ref="C559:D559"/>
    <mergeCell ref="A560:B560"/>
    <mergeCell ref="C560:D560"/>
    <mergeCell ref="A561:B561"/>
    <mergeCell ref="C561:D561"/>
    <mergeCell ref="A551:D551"/>
    <mergeCell ref="A552:D552"/>
    <mergeCell ref="A553:D553"/>
    <mergeCell ref="A554:D554"/>
    <mergeCell ref="A555:D555"/>
    <mergeCell ref="A556:B556"/>
    <mergeCell ref="C556:D556"/>
    <mergeCell ref="A548:B548"/>
    <mergeCell ref="C548:D548"/>
    <mergeCell ref="A549:B549"/>
    <mergeCell ref="C549:D549"/>
    <mergeCell ref="A550:B550"/>
    <mergeCell ref="C550:D550"/>
    <mergeCell ref="C543:D543"/>
    <mergeCell ref="A545:B545"/>
    <mergeCell ref="C545:D545"/>
    <mergeCell ref="A546:B546"/>
    <mergeCell ref="C546:D546"/>
    <mergeCell ref="A547:B547"/>
    <mergeCell ref="C547:D547"/>
    <mergeCell ref="A538:D538"/>
    <mergeCell ref="A539:D539"/>
    <mergeCell ref="A540:D540"/>
    <mergeCell ref="A541:D541"/>
    <mergeCell ref="A542:B542"/>
    <mergeCell ref="C542:D542"/>
    <mergeCell ref="A535:B535"/>
    <mergeCell ref="C535:D535"/>
    <mergeCell ref="A536:B536"/>
    <mergeCell ref="C536:D536"/>
    <mergeCell ref="A537:B537"/>
    <mergeCell ref="C537:D537"/>
    <mergeCell ref="C530:D530"/>
    <mergeCell ref="A532:B532"/>
    <mergeCell ref="C532:D532"/>
    <mergeCell ref="A533:B533"/>
    <mergeCell ref="C533:D533"/>
    <mergeCell ref="A534:B534"/>
    <mergeCell ref="C534:D534"/>
    <mergeCell ref="A524:D524"/>
    <mergeCell ref="A525:D525"/>
    <mergeCell ref="A526:D526"/>
    <mergeCell ref="A527:D527"/>
    <mergeCell ref="A528:D528"/>
    <mergeCell ref="A529:B529"/>
    <mergeCell ref="C529:D529"/>
    <mergeCell ref="A521:B521"/>
    <mergeCell ref="C521:D521"/>
    <mergeCell ref="A522:B522"/>
    <mergeCell ref="C522:D522"/>
    <mergeCell ref="A523:B523"/>
    <mergeCell ref="C523:D523"/>
    <mergeCell ref="C516:D516"/>
    <mergeCell ref="A518:B518"/>
    <mergeCell ref="C518:D518"/>
    <mergeCell ref="A519:B519"/>
    <mergeCell ref="C519:D519"/>
    <mergeCell ref="A520:B520"/>
    <mergeCell ref="C520:D520"/>
    <mergeCell ref="A511:D511"/>
    <mergeCell ref="A512:D512"/>
    <mergeCell ref="A513:D513"/>
    <mergeCell ref="A514:D514"/>
    <mergeCell ref="A515:B515"/>
    <mergeCell ref="C515:D515"/>
    <mergeCell ref="A508:B508"/>
    <mergeCell ref="C508:D508"/>
    <mergeCell ref="A509:B509"/>
    <mergeCell ref="C509:D509"/>
    <mergeCell ref="A510:B510"/>
    <mergeCell ref="C510:D510"/>
    <mergeCell ref="C503:D503"/>
    <mergeCell ref="A505:B505"/>
    <mergeCell ref="C505:D505"/>
    <mergeCell ref="A506:B506"/>
    <mergeCell ref="C506:D506"/>
    <mergeCell ref="A507:B507"/>
    <mergeCell ref="C507:D507"/>
    <mergeCell ref="A497:D497"/>
    <mergeCell ref="A498:D498"/>
    <mergeCell ref="A499:D499"/>
    <mergeCell ref="A500:D500"/>
    <mergeCell ref="A501:D501"/>
    <mergeCell ref="A502:B502"/>
    <mergeCell ref="C502:D502"/>
    <mergeCell ref="A494:B494"/>
    <mergeCell ref="C494:D494"/>
    <mergeCell ref="A495:B495"/>
    <mergeCell ref="C495:D495"/>
    <mergeCell ref="A496:B496"/>
    <mergeCell ref="C496:D496"/>
    <mergeCell ref="C489:D489"/>
    <mergeCell ref="A491:B491"/>
    <mergeCell ref="C491:D491"/>
    <mergeCell ref="A492:B492"/>
    <mergeCell ref="C492:D492"/>
    <mergeCell ref="A493:B493"/>
    <mergeCell ref="C493:D493"/>
    <mergeCell ref="A484:D484"/>
    <mergeCell ref="A485:D485"/>
    <mergeCell ref="A486:D486"/>
    <mergeCell ref="A487:D487"/>
    <mergeCell ref="A488:B488"/>
    <mergeCell ref="C488:D488"/>
    <mergeCell ref="A481:B481"/>
    <mergeCell ref="C481:D481"/>
    <mergeCell ref="A482:B482"/>
    <mergeCell ref="C482:D482"/>
    <mergeCell ref="A483:B483"/>
    <mergeCell ref="C483:D483"/>
    <mergeCell ref="C476:D476"/>
    <mergeCell ref="A478:B478"/>
    <mergeCell ref="C478:D478"/>
    <mergeCell ref="A479:B479"/>
    <mergeCell ref="C479:D479"/>
    <mergeCell ref="A480:B480"/>
    <mergeCell ref="C480:D480"/>
    <mergeCell ref="A470:D470"/>
    <mergeCell ref="A471:D471"/>
    <mergeCell ref="A472:D472"/>
    <mergeCell ref="A473:D473"/>
    <mergeCell ref="A474:D474"/>
    <mergeCell ref="A475:B475"/>
    <mergeCell ref="C475:D475"/>
    <mergeCell ref="A467:B467"/>
    <mergeCell ref="C467:D467"/>
    <mergeCell ref="A468:B468"/>
    <mergeCell ref="C468:D468"/>
    <mergeCell ref="A469:B469"/>
    <mergeCell ref="C469:D469"/>
    <mergeCell ref="C462:D462"/>
    <mergeCell ref="A464:B464"/>
    <mergeCell ref="C464:D464"/>
    <mergeCell ref="A465:B465"/>
    <mergeCell ref="C465:D465"/>
    <mergeCell ref="A466:B466"/>
    <mergeCell ref="C466:D466"/>
    <mergeCell ref="A457:D457"/>
    <mergeCell ref="A458:D458"/>
    <mergeCell ref="A459:D459"/>
    <mergeCell ref="A460:D460"/>
    <mergeCell ref="A461:B461"/>
    <mergeCell ref="C461:D461"/>
    <mergeCell ref="A454:B454"/>
    <mergeCell ref="C454:D454"/>
    <mergeCell ref="A455:B455"/>
    <mergeCell ref="C455:D455"/>
    <mergeCell ref="A456:B456"/>
    <mergeCell ref="C456:D456"/>
    <mergeCell ref="C449:D449"/>
    <mergeCell ref="A451:B451"/>
    <mergeCell ref="C451:D451"/>
    <mergeCell ref="A452:B452"/>
    <mergeCell ref="C452:D452"/>
    <mergeCell ref="A453:B453"/>
    <mergeCell ref="C453:D453"/>
    <mergeCell ref="A443:D443"/>
    <mergeCell ref="A444:D444"/>
    <mergeCell ref="A445:D445"/>
    <mergeCell ref="A446:D446"/>
    <mergeCell ref="A447:D447"/>
    <mergeCell ref="A448:B448"/>
    <mergeCell ref="C448:D448"/>
    <mergeCell ref="A440:B440"/>
    <mergeCell ref="C440:D440"/>
    <mergeCell ref="A441:B441"/>
    <mergeCell ref="C441:D441"/>
    <mergeCell ref="A442:B442"/>
    <mergeCell ref="C442:D442"/>
    <mergeCell ref="C435:D435"/>
    <mergeCell ref="A437:B437"/>
    <mergeCell ref="C437:D437"/>
    <mergeCell ref="A438:B438"/>
    <mergeCell ref="C438:D438"/>
    <mergeCell ref="A439:B439"/>
    <mergeCell ref="C439:D439"/>
    <mergeCell ref="A430:D430"/>
    <mergeCell ref="A431:D431"/>
    <mergeCell ref="A432:D432"/>
    <mergeCell ref="A433:D433"/>
    <mergeCell ref="A434:B434"/>
    <mergeCell ref="C434:D434"/>
    <mergeCell ref="A427:B427"/>
    <mergeCell ref="C427:D427"/>
    <mergeCell ref="A428:B428"/>
    <mergeCell ref="C428:D428"/>
    <mergeCell ref="A429:B429"/>
    <mergeCell ref="C429:D429"/>
    <mergeCell ref="C422:D422"/>
    <mergeCell ref="A424:B424"/>
    <mergeCell ref="C424:D424"/>
    <mergeCell ref="A425:B425"/>
    <mergeCell ref="C425:D425"/>
    <mergeCell ref="A426:B426"/>
    <mergeCell ref="C426:D426"/>
    <mergeCell ref="A416:D416"/>
    <mergeCell ref="A417:D417"/>
    <mergeCell ref="A418:D418"/>
    <mergeCell ref="A419:D419"/>
    <mergeCell ref="A420:D420"/>
    <mergeCell ref="A421:B421"/>
    <mergeCell ref="C421:D421"/>
    <mergeCell ref="A413:B413"/>
    <mergeCell ref="C413:D413"/>
    <mergeCell ref="A414:B414"/>
    <mergeCell ref="C414:D414"/>
    <mergeCell ref="A415:B415"/>
    <mergeCell ref="C415:D415"/>
    <mergeCell ref="C408:D408"/>
    <mergeCell ref="A410:B410"/>
    <mergeCell ref="C410:D410"/>
    <mergeCell ref="A411:B411"/>
    <mergeCell ref="C411:D411"/>
    <mergeCell ref="A412:B412"/>
    <mergeCell ref="C412:D412"/>
    <mergeCell ref="A403:D403"/>
    <mergeCell ref="A404:D404"/>
    <mergeCell ref="A405:D405"/>
    <mergeCell ref="A406:D406"/>
    <mergeCell ref="A407:B407"/>
    <mergeCell ref="C407:D407"/>
    <mergeCell ref="A400:B400"/>
    <mergeCell ref="C400:D400"/>
    <mergeCell ref="A401:B401"/>
    <mergeCell ref="C401:D401"/>
    <mergeCell ref="A402:B402"/>
    <mergeCell ref="C402:D402"/>
    <mergeCell ref="C395:D395"/>
    <mergeCell ref="A397:B397"/>
    <mergeCell ref="C397:D397"/>
    <mergeCell ref="A398:B398"/>
    <mergeCell ref="C398:D398"/>
    <mergeCell ref="A399:B399"/>
    <mergeCell ref="C399:D399"/>
    <mergeCell ref="A389:D389"/>
    <mergeCell ref="A390:D390"/>
    <mergeCell ref="A391:D391"/>
    <mergeCell ref="A392:D392"/>
    <mergeCell ref="A393:D393"/>
    <mergeCell ref="A394:B394"/>
    <mergeCell ref="C394:D394"/>
    <mergeCell ref="A386:B386"/>
    <mergeCell ref="C386:D386"/>
    <mergeCell ref="A387:B387"/>
    <mergeCell ref="C387:D387"/>
    <mergeCell ref="A388:B388"/>
    <mergeCell ref="C388:D388"/>
    <mergeCell ref="C381:D381"/>
    <mergeCell ref="A383:B383"/>
    <mergeCell ref="C383:D383"/>
    <mergeCell ref="A384:B384"/>
    <mergeCell ref="C384:D384"/>
    <mergeCell ref="A385:B385"/>
    <mergeCell ref="C385:D385"/>
    <mergeCell ref="A376:D376"/>
    <mergeCell ref="A377:D377"/>
    <mergeCell ref="A378:D378"/>
    <mergeCell ref="A379:D379"/>
    <mergeCell ref="A380:B380"/>
    <mergeCell ref="C380:D380"/>
    <mergeCell ref="A373:B373"/>
    <mergeCell ref="C373:D373"/>
    <mergeCell ref="A374:B374"/>
    <mergeCell ref="C374:D374"/>
    <mergeCell ref="A375:B375"/>
    <mergeCell ref="C375:D375"/>
    <mergeCell ref="C368:D368"/>
    <mergeCell ref="A370:B370"/>
    <mergeCell ref="C370:D370"/>
    <mergeCell ref="A371:B371"/>
    <mergeCell ref="C371:D371"/>
    <mergeCell ref="A372:B372"/>
    <mergeCell ref="C372:D372"/>
    <mergeCell ref="A362:D362"/>
    <mergeCell ref="A363:D363"/>
    <mergeCell ref="A364:D364"/>
    <mergeCell ref="A365:D365"/>
    <mergeCell ref="A366:D366"/>
    <mergeCell ref="A367:B367"/>
    <mergeCell ref="C367:D367"/>
    <mergeCell ref="A359:B359"/>
    <mergeCell ref="C359:D359"/>
    <mergeCell ref="A360:B360"/>
    <mergeCell ref="C360:D360"/>
    <mergeCell ref="A361:B361"/>
    <mergeCell ref="C361:D361"/>
    <mergeCell ref="C354:D354"/>
    <mergeCell ref="A356:B356"/>
    <mergeCell ref="C356:D356"/>
    <mergeCell ref="A357:B357"/>
    <mergeCell ref="C357:D357"/>
    <mergeCell ref="A358:B358"/>
    <mergeCell ref="C358:D358"/>
    <mergeCell ref="A349:D349"/>
    <mergeCell ref="A350:D350"/>
    <mergeCell ref="A351:D351"/>
    <mergeCell ref="A352:D352"/>
    <mergeCell ref="A353:B353"/>
    <mergeCell ref="C353:D353"/>
    <mergeCell ref="A346:B346"/>
    <mergeCell ref="C346:D346"/>
    <mergeCell ref="A347:B347"/>
    <mergeCell ref="C347:D347"/>
    <mergeCell ref="A348:B348"/>
    <mergeCell ref="C348:D348"/>
    <mergeCell ref="C341:D341"/>
    <mergeCell ref="A343:B343"/>
    <mergeCell ref="C343:D343"/>
    <mergeCell ref="A344:B344"/>
    <mergeCell ref="C344:D344"/>
    <mergeCell ref="A345:B345"/>
    <mergeCell ref="C345:D345"/>
    <mergeCell ref="A335:D335"/>
    <mergeCell ref="A336:D336"/>
    <mergeCell ref="A337:D337"/>
    <mergeCell ref="A338:D338"/>
    <mergeCell ref="A339:D339"/>
    <mergeCell ref="A340:B340"/>
    <mergeCell ref="C340:D340"/>
    <mergeCell ref="A332:B332"/>
    <mergeCell ref="C332:D332"/>
    <mergeCell ref="A333:B333"/>
    <mergeCell ref="C333:D333"/>
    <mergeCell ref="A334:B334"/>
    <mergeCell ref="C334:D334"/>
    <mergeCell ref="C327:D327"/>
    <mergeCell ref="A329:B329"/>
    <mergeCell ref="C329:D329"/>
    <mergeCell ref="A330:B330"/>
    <mergeCell ref="C330:D330"/>
    <mergeCell ref="A331:B331"/>
    <mergeCell ref="C331:D331"/>
    <mergeCell ref="A322:D322"/>
    <mergeCell ref="A323:D323"/>
    <mergeCell ref="A324:D324"/>
    <mergeCell ref="A325:D325"/>
    <mergeCell ref="A326:B326"/>
    <mergeCell ref="C326:D326"/>
    <mergeCell ref="A319:B319"/>
    <mergeCell ref="C319:D319"/>
    <mergeCell ref="A320:B320"/>
    <mergeCell ref="C320:D320"/>
    <mergeCell ref="A321:B321"/>
    <mergeCell ref="C321:D321"/>
    <mergeCell ref="C314:D314"/>
    <mergeCell ref="A316:B316"/>
    <mergeCell ref="C316:D316"/>
    <mergeCell ref="A317:B317"/>
    <mergeCell ref="C317:D317"/>
    <mergeCell ref="A318:B318"/>
    <mergeCell ref="C318:D318"/>
    <mergeCell ref="A308:D308"/>
    <mergeCell ref="A309:D309"/>
    <mergeCell ref="A310:D310"/>
    <mergeCell ref="A311:D311"/>
    <mergeCell ref="A312:D312"/>
    <mergeCell ref="A313:B313"/>
    <mergeCell ref="C313:D313"/>
    <mergeCell ref="A305:B305"/>
    <mergeCell ref="C305:D305"/>
    <mergeCell ref="A306:B306"/>
    <mergeCell ref="C306:D306"/>
    <mergeCell ref="A307:B307"/>
    <mergeCell ref="C307:D307"/>
    <mergeCell ref="C300:D300"/>
    <mergeCell ref="A302:B302"/>
    <mergeCell ref="C302:D302"/>
    <mergeCell ref="A303:B303"/>
    <mergeCell ref="C303:D303"/>
    <mergeCell ref="A304:B304"/>
    <mergeCell ref="C304:D304"/>
    <mergeCell ref="A295:D295"/>
    <mergeCell ref="A296:D296"/>
    <mergeCell ref="A297:D297"/>
    <mergeCell ref="A298:D298"/>
    <mergeCell ref="A299:B299"/>
    <mergeCell ref="C299:D299"/>
    <mergeCell ref="A292:B292"/>
    <mergeCell ref="C292:D292"/>
    <mergeCell ref="A293:B293"/>
    <mergeCell ref="C293:D293"/>
    <mergeCell ref="A294:B294"/>
    <mergeCell ref="C294:D294"/>
    <mergeCell ref="C287:D287"/>
    <mergeCell ref="A289:B289"/>
    <mergeCell ref="C289:D289"/>
    <mergeCell ref="A290:B290"/>
    <mergeCell ref="C290:D290"/>
    <mergeCell ref="A291:B291"/>
    <mergeCell ref="C291:D291"/>
    <mergeCell ref="A281:D281"/>
    <mergeCell ref="A282:D282"/>
    <mergeCell ref="A283:D283"/>
    <mergeCell ref="A284:D284"/>
    <mergeCell ref="A285:D285"/>
    <mergeCell ref="A286:B286"/>
    <mergeCell ref="C286:D286"/>
    <mergeCell ref="A278:B278"/>
    <mergeCell ref="C278:D278"/>
    <mergeCell ref="A279:B279"/>
    <mergeCell ref="C279:D279"/>
    <mergeCell ref="A280:B280"/>
    <mergeCell ref="C280:D280"/>
    <mergeCell ref="C273:D273"/>
    <mergeCell ref="A275:B275"/>
    <mergeCell ref="C275:D275"/>
    <mergeCell ref="A276:B276"/>
    <mergeCell ref="C276:D276"/>
    <mergeCell ref="A277:B277"/>
    <mergeCell ref="C277:D277"/>
    <mergeCell ref="A268:D268"/>
    <mergeCell ref="A269:D269"/>
    <mergeCell ref="A270:D270"/>
    <mergeCell ref="A271:D271"/>
    <mergeCell ref="A272:B272"/>
    <mergeCell ref="C272:D272"/>
    <mergeCell ref="A265:B265"/>
    <mergeCell ref="C265:D265"/>
    <mergeCell ref="A266:B266"/>
    <mergeCell ref="C266:D266"/>
    <mergeCell ref="A267:B267"/>
    <mergeCell ref="C267:D267"/>
    <mergeCell ref="C260:D260"/>
    <mergeCell ref="A262:B262"/>
    <mergeCell ref="C262:D262"/>
    <mergeCell ref="A263:B263"/>
    <mergeCell ref="C263:D263"/>
    <mergeCell ref="A264:B264"/>
    <mergeCell ref="C264:D264"/>
    <mergeCell ref="A254:D254"/>
    <mergeCell ref="A255:D255"/>
    <mergeCell ref="A256:D256"/>
    <mergeCell ref="A257:D257"/>
    <mergeCell ref="A258:D258"/>
    <mergeCell ref="A259:B259"/>
    <mergeCell ref="C259:D259"/>
    <mergeCell ref="A251:B251"/>
    <mergeCell ref="C251:D251"/>
    <mergeCell ref="A252:B252"/>
    <mergeCell ref="C252:D252"/>
    <mergeCell ref="A253:B253"/>
    <mergeCell ref="C253:D253"/>
    <mergeCell ref="C246:D246"/>
    <mergeCell ref="A248:B248"/>
    <mergeCell ref="C248:D248"/>
    <mergeCell ref="A249:B249"/>
    <mergeCell ref="C249:D249"/>
    <mergeCell ref="A250:B250"/>
    <mergeCell ref="C250:D250"/>
    <mergeCell ref="A241:D241"/>
    <mergeCell ref="A242:D242"/>
    <mergeCell ref="A243:D243"/>
    <mergeCell ref="A244:D244"/>
    <mergeCell ref="A245:B245"/>
    <mergeCell ref="C245:D245"/>
    <mergeCell ref="A238:B238"/>
    <mergeCell ref="C238:D238"/>
    <mergeCell ref="A239:B239"/>
    <mergeCell ref="C239:D239"/>
    <mergeCell ref="A240:B240"/>
    <mergeCell ref="C240:D240"/>
    <mergeCell ref="C233:D233"/>
    <mergeCell ref="A235:B235"/>
    <mergeCell ref="C235:D235"/>
    <mergeCell ref="A236:B236"/>
    <mergeCell ref="C236:D236"/>
    <mergeCell ref="A237:B237"/>
    <mergeCell ref="C237:D237"/>
    <mergeCell ref="A227:D227"/>
    <mergeCell ref="A228:D228"/>
    <mergeCell ref="A229:D229"/>
    <mergeCell ref="A230:D230"/>
    <mergeCell ref="A231:D231"/>
    <mergeCell ref="A232:B232"/>
    <mergeCell ref="C232:D232"/>
    <mergeCell ref="A224:B224"/>
    <mergeCell ref="C224:D224"/>
    <mergeCell ref="A225:B225"/>
    <mergeCell ref="C225:D225"/>
    <mergeCell ref="A226:B226"/>
    <mergeCell ref="C226:D226"/>
    <mergeCell ref="C219:D219"/>
    <mergeCell ref="A221:B221"/>
    <mergeCell ref="C221:D221"/>
    <mergeCell ref="A222:B222"/>
    <mergeCell ref="C222:D222"/>
    <mergeCell ref="A223:B223"/>
    <mergeCell ref="C223:D223"/>
    <mergeCell ref="A214:D214"/>
    <mergeCell ref="A215:D215"/>
    <mergeCell ref="A216:D216"/>
    <mergeCell ref="A217:D217"/>
    <mergeCell ref="A218:B218"/>
    <mergeCell ref="C218:D218"/>
    <mergeCell ref="A211:B211"/>
    <mergeCell ref="C211:D211"/>
    <mergeCell ref="A212:B212"/>
    <mergeCell ref="C212:D212"/>
    <mergeCell ref="A213:B213"/>
    <mergeCell ref="C213:D213"/>
    <mergeCell ref="C206:D206"/>
    <mergeCell ref="A208:B208"/>
    <mergeCell ref="C208:D208"/>
    <mergeCell ref="A209:B209"/>
    <mergeCell ref="C209:D209"/>
    <mergeCell ref="A210:B210"/>
    <mergeCell ref="C210:D210"/>
    <mergeCell ref="A200:D200"/>
    <mergeCell ref="A201:D201"/>
    <mergeCell ref="A202:D202"/>
    <mergeCell ref="A203:D203"/>
    <mergeCell ref="A204:D204"/>
    <mergeCell ref="A205:B205"/>
    <mergeCell ref="C205:D205"/>
    <mergeCell ref="A197:B197"/>
    <mergeCell ref="C197:D197"/>
    <mergeCell ref="A198:B198"/>
    <mergeCell ref="C198:D198"/>
    <mergeCell ref="A199:B199"/>
    <mergeCell ref="C199:D199"/>
    <mergeCell ref="C192:D192"/>
    <mergeCell ref="A194:B194"/>
    <mergeCell ref="C194:D194"/>
    <mergeCell ref="A195:B195"/>
    <mergeCell ref="C195:D195"/>
    <mergeCell ref="A196:B196"/>
    <mergeCell ref="C196:D196"/>
    <mergeCell ref="A187:D187"/>
    <mergeCell ref="A188:D188"/>
    <mergeCell ref="A189:D189"/>
    <mergeCell ref="A190:D190"/>
    <mergeCell ref="A191:B191"/>
    <mergeCell ref="C191:D191"/>
    <mergeCell ref="A184:B184"/>
    <mergeCell ref="C184:D184"/>
    <mergeCell ref="A185:B185"/>
    <mergeCell ref="C185:D185"/>
    <mergeCell ref="A186:B186"/>
    <mergeCell ref="C186:D186"/>
    <mergeCell ref="C179:D179"/>
    <mergeCell ref="A181:B181"/>
    <mergeCell ref="C181:D181"/>
    <mergeCell ref="A182:B182"/>
    <mergeCell ref="C182:D182"/>
    <mergeCell ref="A183:B183"/>
    <mergeCell ref="C183:D183"/>
    <mergeCell ref="A173:D173"/>
    <mergeCell ref="A174:D174"/>
    <mergeCell ref="A175:D175"/>
    <mergeCell ref="A176:D176"/>
    <mergeCell ref="A177:D177"/>
    <mergeCell ref="A178:B178"/>
    <mergeCell ref="C178:D178"/>
    <mergeCell ref="A170:B170"/>
    <mergeCell ref="C170:D170"/>
    <mergeCell ref="A171:B171"/>
    <mergeCell ref="C171:D171"/>
    <mergeCell ref="A172:B172"/>
    <mergeCell ref="C172:D172"/>
    <mergeCell ref="C165:D165"/>
    <mergeCell ref="A167:B167"/>
    <mergeCell ref="C167:D167"/>
    <mergeCell ref="A168:B168"/>
    <mergeCell ref="C168:D168"/>
    <mergeCell ref="A169:B169"/>
    <mergeCell ref="C169:D169"/>
    <mergeCell ref="A160:D160"/>
    <mergeCell ref="A161:D161"/>
    <mergeCell ref="A162:D162"/>
    <mergeCell ref="A163:D163"/>
    <mergeCell ref="A164:B164"/>
    <mergeCell ref="C164:D164"/>
    <mergeCell ref="A157:B157"/>
    <mergeCell ref="C157:D157"/>
    <mergeCell ref="A158:B158"/>
    <mergeCell ref="C158:D158"/>
    <mergeCell ref="A159:B159"/>
    <mergeCell ref="C159:D159"/>
    <mergeCell ref="C152:D152"/>
    <mergeCell ref="A154:B154"/>
    <mergeCell ref="C154:D154"/>
    <mergeCell ref="A155:B155"/>
    <mergeCell ref="C155:D155"/>
    <mergeCell ref="A156:B156"/>
    <mergeCell ref="C156:D156"/>
    <mergeCell ref="A146:D146"/>
    <mergeCell ref="A147:D147"/>
    <mergeCell ref="A148:D148"/>
    <mergeCell ref="A149:D149"/>
    <mergeCell ref="A150:D150"/>
    <mergeCell ref="A151:B151"/>
    <mergeCell ref="C151:D151"/>
    <mergeCell ref="A143:B143"/>
    <mergeCell ref="C143:D143"/>
    <mergeCell ref="A144:B144"/>
    <mergeCell ref="C144:D144"/>
    <mergeCell ref="A145:B145"/>
    <mergeCell ref="C145:D145"/>
    <mergeCell ref="C138:D138"/>
    <mergeCell ref="A140:B140"/>
    <mergeCell ref="C140:D140"/>
    <mergeCell ref="A141:B141"/>
    <mergeCell ref="C141:D141"/>
    <mergeCell ref="A142:B142"/>
    <mergeCell ref="C142:D142"/>
    <mergeCell ref="A133:D133"/>
    <mergeCell ref="A134:D134"/>
    <mergeCell ref="A135:D135"/>
    <mergeCell ref="A136:D136"/>
    <mergeCell ref="A137:B137"/>
    <mergeCell ref="C137:D137"/>
    <mergeCell ref="A130:B130"/>
    <mergeCell ref="C130:D130"/>
    <mergeCell ref="A131:B131"/>
    <mergeCell ref="C131:D131"/>
    <mergeCell ref="A132:B132"/>
    <mergeCell ref="C132:D132"/>
    <mergeCell ref="C125:D125"/>
    <mergeCell ref="A127:B127"/>
    <mergeCell ref="C127:D127"/>
    <mergeCell ref="A128:B128"/>
    <mergeCell ref="C128:D128"/>
    <mergeCell ref="A129:B129"/>
    <mergeCell ref="C129:D129"/>
    <mergeCell ref="A119:D119"/>
    <mergeCell ref="A120:D120"/>
    <mergeCell ref="A121:D121"/>
    <mergeCell ref="A122:D122"/>
    <mergeCell ref="A123:D123"/>
    <mergeCell ref="A124:B124"/>
    <mergeCell ref="C124:D124"/>
    <mergeCell ref="A116:B116"/>
    <mergeCell ref="C116:D116"/>
    <mergeCell ref="A117:B117"/>
    <mergeCell ref="C117:D117"/>
    <mergeCell ref="A118:B118"/>
    <mergeCell ref="C118:D118"/>
    <mergeCell ref="C111:D111"/>
    <mergeCell ref="A113:B113"/>
    <mergeCell ref="C113:D113"/>
    <mergeCell ref="A114:B114"/>
    <mergeCell ref="C114:D114"/>
    <mergeCell ref="A115:B115"/>
    <mergeCell ref="C115:D115"/>
    <mergeCell ref="A106:D106"/>
    <mergeCell ref="A107:D107"/>
    <mergeCell ref="A108:D108"/>
    <mergeCell ref="A109:D109"/>
    <mergeCell ref="A110:B110"/>
    <mergeCell ref="C110:D110"/>
    <mergeCell ref="A103:B103"/>
    <mergeCell ref="C103:D103"/>
    <mergeCell ref="A104:B104"/>
    <mergeCell ref="C104:D104"/>
    <mergeCell ref="A105:B105"/>
    <mergeCell ref="C105:D105"/>
    <mergeCell ref="C98:D98"/>
    <mergeCell ref="A100:B100"/>
    <mergeCell ref="C100:D100"/>
    <mergeCell ref="A101:B101"/>
    <mergeCell ref="C101:D101"/>
    <mergeCell ref="A102:B102"/>
    <mergeCell ref="C102:D102"/>
    <mergeCell ref="A92:D92"/>
    <mergeCell ref="A93:D93"/>
    <mergeCell ref="A94:D94"/>
    <mergeCell ref="A95:D95"/>
    <mergeCell ref="A96:D96"/>
    <mergeCell ref="A97:B97"/>
    <mergeCell ref="C97:D97"/>
    <mergeCell ref="A89:B89"/>
    <mergeCell ref="C89:D89"/>
    <mergeCell ref="A90:B90"/>
    <mergeCell ref="C90:D90"/>
    <mergeCell ref="A91:B91"/>
    <mergeCell ref="C91:D91"/>
    <mergeCell ref="C84:D84"/>
    <mergeCell ref="A86:B86"/>
    <mergeCell ref="C86:D86"/>
    <mergeCell ref="A87:B87"/>
    <mergeCell ref="C87:D87"/>
    <mergeCell ref="A88:B88"/>
    <mergeCell ref="C88:D88"/>
    <mergeCell ref="A79:D79"/>
    <mergeCell ref="A80:D80"/>
    <mergeCell ref="A81:D81"/>
    <mergeCell ref="A82:D82"/>
    <mergeCell ref="A83:B83"/>
    <mergeCell ref="C83:D83"/>
    <mergeCell ref="A76:B76"/>
    <mergeCell ref="C76:D76"/>
    <mergeCell ref="A77:B77"/>
    <mergeCell ref="C77:D77"/>
    <mergeCell ref="A78:B78"/>
    <mergeCell ref="C78:D78"/>
    <mergeCell ref="C71:D71"/>
    <mergeCell ref="A73:B73"/>
    <mergeCell ref="C73:D73"/>
    <mergeCell ref="A74:B74"/>
    <mergeCell ref="C74:D74"/>
    <mergeCell ref="A75:B75"/>
    <mergeCell ref="C75:D75"/>
    <mergeCell ref="A65:D65"/>
    <mergeCell ref="A66:D66"/>
    <mergeCell ref="A67:D67"/>
    <mergeCell ref="A68:D68"/>
    <mergeCell ref="A69:D69"/>
    <mergeCell ref="A70:B70"/>
    <mergeCell ref="C70:D70"/>
    <mergeCell ref="A62:B62"/>
    <mergeCell ref="C62:D62"/>
    <mergeCell ref="A63:B63"/>
    <mergeCell ref="C63:D63"/>
    <mergeCell ref="A64:B64"/>
    <mergeCell ref="C64:D64"/>
    <mergeCell ref="C57:D57"/>
    <mergeCell ref="A59:B59"/>
    <mergeCell ref="C59:D59"/>
    <mergeCell ref="A60:B60"/>
    <mergeCell ref="C60:D60"/>
    <mergeCell ref="A61:B61"/>
    <mergeCell ref="C61:D61"/>
    <mergeCell ref="A52:D52"/>
    <mergeCell ref="A53:D53"/>
    <mergeCell ref="A54:D54"/>
    <mergeCell ref="A55:D55"/>
    <mergeCell ref="A56:B56"/>
    <mergeCell ref="C56:D56"/>
    <mergeCell ref="A49:B49"/>
    <mergeCell ref="C49:D49"/>
    <mergeCell ref="A50:B50"/>
    <mergeCell ref="C50:D50"/>
    <mergeCell ref="A51:B51"/>
    <mergeCell ref="C51:D51"/>
    <mergeCell ref="C44:D44"/>
    <mergeCell ref="A46:B46"/>
    <mergeCell ref="C46:D46"/>
    <mergeCell ref="A47:B47"/>
    <mergeCell ref="C47:D47"/>
    <mergeCell ref="A48:B48"/>
    <mergeCell ref="C48:D48"/>
    <mergeCell ref="A38:D38"/>
    <mergeCell ref="A39:D39"/>
    <mergeCell ref="A40:D40"/>
    <mergeCell ref="A41:D41"/>
    <mergeCell ref="A42:D42"/>
    <mergeCell ref="A43:B43"/>
    <mergeCell ref="C43:D43"/>
    <mergeCell ref="A35:B35"/>
    <mergeCell ref="C35:D35"/>
    <mergeCell ref="A36:B36"/>
    <mergeCell ref="C36:D36"/>
    <mergeCell ref="A37:B37"/>
    <mergeCell ref="C37:D37"/>
    <mergeCell ref="C30:D30"/>
    <mergeCell ref="A32:B32"/>
    <mergeCell ref="C32:D32"/>
    <mergeCell ref="A33:B33"/>
    <mergeCell ref="C33:D33"/>
    <mergeCell ref="A34:B34"/>
    <mergeCell ref="C34:D34"/>
    <mergeCell ref="A25:D25"/>
    <mergeCell ref="A26:D26"/>
    <mergeCell ref="A27:D27"/>
    <mergeCell ref="A28:D28"/>
    <mergeCell ref="A29:B29"/>
    <mergeCell ref="C29:D29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3:D13"/>
    <mergeCell ref="A14:D14"/>
    <mergeCell ref="A15:D15"/>
    <mergeCell ref="A16:B16"/>
    <mergeCell ref="C16:D16"/>
    <mergeCell ref="C17:D17"/>
    <mergeCell ref="A9:B9"/>
    <mergeCell ref="C9:D9"/>
    <mergeCell ref="A10:B10"/>
    <mergeCell ref="C10:D10"/>
    <mergeCell ref="A11:D11"/>
    <mergeCell ref="A12:D12"/>
    <mergeCell ref="A6:B6"/>
    <mergeCell ref="C6:D6"/>
    <mergeCell ref="A7:B7"/>
    <mergeCell ref="C7:D7"/>
    <mergeCell ref="A8:B8"/>
    <mergeCell ref="C8:D8"/>
    <mergeCell ref="A1:D1"/>
    <mergeCell ref="A2:B2"/>
    <mergeCell ref="C2:D2"/>
    <mergeCell ref="C3:D3"/>
    <mergeCell ref="A5:B5"/>
    <mergeCell ref="C5:D5"/>
  </mergeCells>
  <printOptions horizontalCentered="1" verticalCentered="1"/>
  <pageMargins left="2.3228346456692917" right="2.204724409448819" top="0.11811023622047245" bottom="0.15748031496062992" header="0.11811023622047245" footer="0.15748031496062992"/>
  <pageSetup scale="66" orientation="portrait" r:id="rId1"/>
  <headerFooter>
    <oddHeader>&amp;C&amp;P</oddHeader>
  </headerFooter>
  <rowBreaks count="1" manualBreakCount="1">
    <brk id="27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خمام مارکیت</vt:lpstr>
      <vt:lpstr>خوست پلازه</vt:lpstr>
      <vt:lpstr>'خمام مارکیت'!Print_Area</vt:lpstr>
      <vt:lpstr>'خوست پلازه'!Print_Area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cp:lastPrinted>2025-07-01T05:05:45Z</cp:lastPrinted>
  <dcterms:created xsi:type="dcterms:W3CDTF">2025-07-01T04:49:36Z</dcterms:created>
  <dcterms:modified xsi:type="dcterms:W3CDTF">2025-07-01T05:08:07Z</dcterms:modified>
</cp:coreProperties>
</file>